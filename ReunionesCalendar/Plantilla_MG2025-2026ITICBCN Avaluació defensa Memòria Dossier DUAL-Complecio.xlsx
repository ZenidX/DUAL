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CBCN Avaluació FINAL 25-26" sheetId="1" r:id="rId5"/>
    <sheet state="visible" name="ITICBCN avaluació presentació 2" sheetId="2" r:id="rId6"/>
    <sheet state="visible" name="ITICBCN avaluació documentació " sheetId="3" r:id="rId7"/>
    <sheet state="visible" name="Horaris 25-26" sheetId="4" r:id="rId8"/>
    <sheet state="visible" name="Calendari 25-26" sheetId="5" r:id="rId9"/>
  </sheets>
  <definedNames>
    <definedName hidden="1" localSheetId="3" name="_xlnm._FilterDatabase">'Horaris 25-26'!$A$2:$H$51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NOTES QUE POSEN ELS/LES TUTORS/ES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5">
      <text>
        <t xml:space="preserve">Per mi (ROGER), no pot aprovar fins que no entregui el dossier de forma correcta. Tot el que es demana.
</t>
      </text>
    </comment>
    <comment authorId="0" ref="N15">
      <text>
        <t xml:space="preserve">ROGER: no pot aprovar fins que ho tingui tot fet</t>
      </text>
    </comment>
    <comment authorId="0" ref="AA15">
      <text>
        <t xml:space="preserve">09/05 (Avaluació proposada per Jordi M.)</t>
      </text>
    </comment>
    <comment authorId="0" ref="AB15">
      <text>
        <t xml:space="preserve">09/05 (Avaluació proposada per Jordi M.)</t>
      </text>
    </comment>
    <comment authorId="0" ref="AC15">
      <text>
        <t xml:space="preserve">09/05 (Avaluació proposada per Jordi M.)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tc={0c2e5ad8-071b-48d9-917b-be6b073106cb}</author>
    <author>tc={25c28a43-f1f7-40cb-8c2f-b853ba010494}</author>
    <author>tc={7e674d19-f9c9-4be0-aba3-c1ddbf19ff37}</author>
    <author>tc={e29217a9-7881-46eb-ae16-ad89870b4ebe}</author>
  </authors>
  <commentList>
    <comment authorId="0" xr:uid="{0c2e5ad8-071b-48d9-917b-be6b073106cb}" ref="A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@roger.sobrino@iticbcn.cat Que te parece este horario?
S’ha assignat a roger.sobrino@iticbcn.cat
</t>
      </text>
    </comment>
    <comment authorId="1" xr:uid="{25c28a43-f1f7-40cb-8c2f-b853ba010494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@david.fernandez@iticbcn.cat Que te parece este horario?
S’ha assignat a david.fernandez@iticbcn.cat
</t>
      </text>
    </comment>
    <comment authorId="2" xr:uid="{7e674d19-f9c9-4be0-aba3-c1ddbf19ff37}" ref="A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@juanmanuel.sanchez@iticbcn.cat Que te parece este horario?
S’ha assignat a juanmanuel.sanchez@iticbcn.cat
</t>
      </text>
    </comment>
    <comment authorId="3" xr:uid="{e29217a9-7881-46eb-ae16-ad89870b4ebe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@daniel.garcia@iticbcn.cat Que te parece este horario?
S’ha assignat a daniel.garcia@iticbcn.cat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La Diada</t>
      </text>
    </comment>
    <comment authorId="0" ref="N24">
      <text>
        <t xml:space="preserve">1r dia lliure disposició</t>
      </text>
    </comment>
    <comment authorId="0" ref="R24">
      <text>
        <t xml:space="preserve">2n dia lliure disposició</t>
      </text>
    </comment>
    <comment authorId="0" ref="V24">
      <text>
        <t xml:space="preserve">Horari de dilluns</t>
      </text>
    </comment>
    <comment authorId="0" ref="Z24">
      <text>
        <t xml:space="preserve">La Immaculada Concepció</t>
      </text>
    </comment>
    <comment authorId="0" ref="L25">
      <text>
        <t xml:space="preserve">Saló de l'ocupació</t>
      </text>
    </comment>
    <comment authorId="0" ref="AD25">
      <text>
        <t xml:space="preserve">Final 1r trimestre. Entrega notes</t>
      </text>
    </comment>
    <comment authorId="0" ref="D26">
      <text>
        <t xml:space="preserve">La Mercè</t>
      </text>
    </comment>
    <comment authorId="0" ref="V27">
      <text>
        <t xml:space="preserve">Fi de la 1a avaluació</t>
      </text>
    </comment>
    <comment authorId="0" ref="V34">
      <text>
        <t xml:space="preserve">Fi 2a avaluació</t>
      </text>
    </comment>
    <comment authorId="0" ref="J35">
      <text>
        <t xml:space="preserve">Inici setmana dona TIC</t>
      </text>
    </comment>
    <comment authorId="0" ref="J36">
      <text>
        <t xml:space="preserve">3r dia de lliure disposició</t>
      </text>
    </comment>
    <comment authorId="0" ref="K36">
      <text>
        <t xml:space="preserve">Horari de dilluns</t>
      </text>
    </comment>
    <comment authorId="0" ref="T36">
      <text>
        <t xml:space="preserve">JEDAI</t>
      </text>
    </comment>
    <comment authorId="0" ref="V36">
      <text>
        <t xml:space="preserve">Entrega notes</t>
      </text>
    </comment>
    <comment authorId="0" ref="D45">
      <text>
        <t xml:space="preserve">Portes obertes PFI</t>
      </text>
    </comment>
    <comment authorId="0" ref="E45">
      <text>
        <t xml:space="preserve">Horari de dilluns</t>
      </text>
    </comment>
    <comment authorId="0" ref="J45">
      <text>
        <t xml:space="preserve">4t dia de lliure disposició</t>
      </text>
    </comment>
    <comment authorId="0" ref="M45">
      <text>
        <t xml:space="preserve">Horari de dilluns</t>
      </text>
    </comment>
    <comment authorId="0" ref="T46">
      <text>
        <t xml:space="preserve">Acte graduació CFGM i PFI</t>
      </text>
    </comment>
    <comment authorId="0" ref="U46">
      <text>
        <t xml:space="preserve">Acte graduació CFGS i CE</t>
      </text>
    </comment>
    <comment authorId="0" ref="D47">
      <text>
        <t xml:space="preserve">Portes obertes GM</t>
      </text>
    </comment>
    <comment authorId="0" ref="E47">
      <text>
        <t xml:space="preserve">Actes de Sant Jordi</t>
      </text>
    </comment>
    <comment authorId="0" ref="N47">
      <text>
        <t xml:space="preserve">Fi de la 3a avaluació</t>
      </text>
    </comment>
    <comment authorId="0" ref="T47">
      <text>
        <t xml:space="preserve">Sant Joan</t>
      </text>
    </comment>
    <comment authorId="0" ref="B48">
      <text>
        <t xml:space="preserve">Portes obertes CE</t>
      </text>
    </comment>
    <comment authorId="0" ref="C48">
      <text>
        <t xml:space="preserve">Portes obertes GS</t>
      </text>
    </comment>
    <comment authorId="0" ref="J48">
      <text>
        <t xml:space="preserve">Festiu Segona Pasqua</t>
      </text>
    </comment>
    <comment authorId="0" ref="N48">
      <text>
        <t xml:space="preserve">Lliurament notes i certificats per PAU</t>
      </text>
    </comment>
  </commentList>
</comments>
</file>

<file path=xl/sharedStrings.xml><?xml version="1.0" encoding="utf-8"?>
<sst xmlns="http://schemas.openxmlformats.org/spreadsheetml/2006/main" count="1064" uniqueCount="230">
  <si>
    <t>Nom</t>
  </si>
  <si>
    <t>Nota DUAL</t>
  </si>
  <si>
    <t>Nota presentació</t>
  </si>
  <si>
    <t>Nota documentació</t>
  </si>
  <si>
    <t>Total</t>
  </si>
  <si>
    <t>SAGA Projecte</t>
  </si>
  <si>
    <t>NIF empresa</t>
  </si>
  <si>
    <t>Data inici</t>
  </si>
  <si>
    <t>Data final</t>
  </si>
  <si>
    <t xml:space="preserve">Tutor </t>
  </si>
  <si>
    <t xml:space="preserve">Enllaç dossier </t>
  </si>
  <si>
    <t>Complecio</t>
  </si>
  <si>
    <t>ROUND</t>
  </si>
  <si>
    <t>ASIX</t>
  </si>
  <si>
    <t xml:space="preserve">Ismael Dumont Corcoles </t>
  </si>
  <si>
    <t>B75272823</t>
  </si>
  <si>
    <t xml:space="preserve">Dani Garcia </t>
  </si>
  <si>
    <t>Abril</t>
  </si>
  <si>
    <t xml:space="preserve">Marcos Lopez Martinez </t>
  </si>
  <si>
    <t>B62619705</t>
  </si>
  <si>
    <t>Xavi Lara</t>
  </si>
  <si>
    <t>Denis Morales Ruiz</t>
  </si>
  <si>
    <t>B08282626</t>
  </si>
  <si>
    <t>Novembre</t>
  </si>
  <si>
    <t xml:space="preserve">DAM </t>
  </si>
  <si>
    <t>Keyla Estefani Baztin</t>
  </si>
  <si>
    <t>B55770747</t>
  </si>
  <si>
    <t>Antonio Aguilar</t>
  </si>
  <si>
    <t xml:space="preserve">Miguel Vera </t>
  </si>
  <si>
    <t>B60645405</t>
  </si>
  <si>
    <t>David Fernandez</t>
  </si>
  <si>
    <t>Miguel Vera</t>
  </si>
  <si>
    <t>Denis Morales</t>
  </si>
  <si>
    <t>Llenguatge verbal</t>
  </si>
  <si>
    <t>Llenguatge poc correcte. Cap vocabulari específic.</t>
  </si>
  <si>
    <t>Mancances d’expressió. Poc vocabulari específic.</t>
  </si>
  <si>
    <t>Correcte. Adequat (en general).</t>
  </si>
  <si>
    <t>Molt bona locució. Ús de vocabulari específic. Expressa les idees amb claredat.</t>
  </si>
  <si>
    <t>1punts</t>
  </si>
  <si>
    <t>2punts</t>
  </si>
  <si>
    <t>3punts</t>
  </si>
  <si>
    <t>4punts</t>
  </si>
  <si>
    <t>Llenguatge no verbal</t>
  </si>
  <si>
    <t>Gesticulació absent o excessiva. Mirada fixa en un punt. Llegeixen notes contínuament.</t>
  </si>
  <si>
    <t>La gesticulació no adient. No capten l’interès del públic. Recorren sovint a la lectura de notes.</t>
  </si>
  <si>
    <t>Gesticulació adient. Llegeixen una part de l’exposició.</t>
  </si>
  <si>
    <t>La mirada s’estén per tota la classe. Els braços descriuen moviments harmònics amb la veu. La paraula s’adiu amb el gest.</t>
  </si>
  <si>
    <t>Material de suport</t>
  </si>
  <si>
    <t>Poc visual i poc treballat. La informació de suport és principalment llegida. El text conté nombroses faltes d'ortografia.</t>
  </si>
  <si>
    <t>Visualment agradable. No il·lustra els continguts més importants. Manca important d’imatges o massa lletra. El text conté faltes d'ortografia.</t>
  </si>
  <si>
    <t>Ben treballat visualment. No il·lustra alguns continguts importants. Falten imatges o massa lletra.</t>
  </si>
  <si>
    <t>Molt ben treballat visualment. Adequat als continguts. Carrega de lletra adequada.</t>
  </si>
  <si>
    <t>Explicació de l'estada a nivell tècnic (tasques, tecnologies...)</t>
  </si>
  <si>
    <t>No expliquen bé l'estada a les pràctiques. No han sabut respondre correctament les preguntes després de l’exposició.</t>
  </si>
  <si>
    <t>Han explicat l'estada de manera superficial. Només han contestat part de les qüestions.</t>
  </si>
  <si>
    <t>Han explicat bé l'estada però han faltat punts. Han contestat les preguntes o dubtes, però amb poc convenciment.</t>
  </si>
  <si>
    <t>Expliquen adecuadament la seva estada. Han contestat correctament les preguntes o dubtes.</t>
  </si>
  <si>
    <t>Context, motivació i objectius</t>
  </si>
  <si>
    <t>No expliquen les expectatives, objectius, motivació inial...</t>
  </si>
  <si>
    <t>Expliquen de manera breu, poc concisa, superficial i/o desordenada els objectius, la motivació...</t>
  </si>
  <si>
    <t>Expliquen correctament els objectius, la motivació, les expectatives però ho fan breument</t>
  </si>
  <si>
    <t>Exposen de manera clara la motivació i els objectius inicials.</t>
  </si>
  <si>
    <t>Conclusió</t>
  </si>
  <si>
    <t>No fan una conclusió del projecte.</t>
  </si>
  <si>
    <t>La conclusió que fan és molt breu i poc concisa.</t>
  </si>
  <si>
    <t>Descriuen de manera breu la trajectòria de les pràctiques, els punts forts i febles però no fa una valoració de les expectatives inicials</t>
  </si>
  <si>
    <t>Descriu la trajectòria de les pràctiques, els punts forts i febles i fa una valoració de les expectatives inicials</t>
  </si>
  <si>
    <t>General</t>
  </si>
  <si>
    <t>Gens clara. Gens ordenada. Costa de seguir.</t>
  </si>
  <si>
    <t>Poc clara. Poc ordenada. Es pot seguir.</t>
  </si>
  <si>
    <t>Correcta.</t>
  </si>
  <si>
    <t>Correcta. Ordenada. Fàcil de seguir.</t>
  </si>
  <si>
    <t>Miquel Vera</t>
  </si>
  <si>
    <t>Presentació Dossier</t>
  </si>
  <si>
    <t>Poc visual i poc treballat.</t>
  </si>
  <si>
    <t>Visualment agradable</t>
  </si>
  <si>
    <t>Ben estructurat</t>
  </si>
  <si>
    <t>Estructura Dossier</t>
  </si>
  <si>
    <t>Creats tots els apartats.</t>
  </si>
  <si>
    <t>Fàcil la cerca d'informació en el document.</t>
  </si>
  <si>
    <t>Totes els apartats inclosos en el document.</t>
  </si>
  <si>
    <t>Expressió escrita</t>
  </si>
  <si>
    <t>S'inclou vocabulari específic.</t>
  </si>
  <si>
    <t>Expresa amb professionalitat les tasques realitzades.</t>
  </si>
  <si>
    <t>Activitats Inicials 1-5</t>
  </si>
  <si>
    <t>No expliquen els objectius i motivació del projecte.</t>
  </si>
  <si>
    <t>Expliquen de manera breu, poc concisa, superficial i/o desordenada els objectius i la motivació.</t>
  </si>
  <si>
    <t>Expliquen correctament els objectius i la motivació,  però es deixen algun dels punts o ho fan de manera poc detallada.</t>
  </si>
  <si>
    <t>Exposen de manera clara la motivació i els objectius del projecte.</t>
  </si>
  <si>
    <t>Activitats 6 Aprenentatges adquirits</t>
  </si>
  <si>
    <t>No es detallen les tecnologies utilitzades.</t>
  </si>
  <si>
    <t>Expliquen de manera breu les tecnologies utilitzades i les tasques concretes realitzades.</t>
  </si>
  <si>
    <t>Expliquen correctament les tecnologies i les tasques concretesrealitzades però ho fan de manera poc detallada.</t>
  </si>
  <si>
    <t>Exposa de manera clara les tecnologies utilitzades i les tasques concretes realitzades.</t>
  </si>
  <si>
    <t>Act7. Valoració de la estada a la empresa</t>
  </si>
  <si>
    <t>Tribunal</t>
  </si>
  <si>
    <t>Data</t>
  </si>
  <si>
    <t>Classe</t>
  </si>
  <si>
    <t>Alumne</t>
  </si>
  <si>
    <t>Coordinació</t>
  </si>
  <si>
    <t xml:space="preserve">Coordinacio </t>
  </si>
  <si>
    <t>Tutor</t>
  </si>
  <si>
    <t>Estat</t>
  </si>
  <si>
    <t>Comentari</t>
  </si>
  <si>
    <t>DAM2B</t>
  </si>
  <si>
    <t>Vera Fernández, Miguel Alfonso</t>
  </si>
  <si>
    <t>Maria Olivella Romagosa</t>
  </si>
  <si>
    <t>Toni Talens Gimenez</t>
  </si>
  <si>
    <t>David Fernàndez Solé</t>
  </si>
  <si>
    <t>OK</t>
  </si>
  <si>
    <t xml:space="preserve">Confirmat </t>
  </si>
  <si>
    <t>ASIX2A</t>
  </si>
  <si>
    <t>Xavier Lara Moreno</t>
  </si>
  <si>
    <t>Confirmat</t>
  </si>
  <si>
    <t>Caballero Enero, Arnau</t>
  </si>
  <si>
    <t>Colet Ayllo, Daniel</t>
  </si>
  <si>
    <t>Fernández Marino, Javier</t>
  </si>
  <si>
    <t>García Martínez, Pablo</t>
  </si>
  <si>
    <t>ASIXCOM</t>
  </si>
  <si>
    <t>López Martínez, Marcos</t>
  </si>
  <si>
    <t>Mas Sales, Pau</t>
  </si>
  <si>
    <t>Morales Ruiz, Denís</t>
  </si>
  <si>
    <t>Murcia Arcas, Oriol</t>
  </si>
  <si>
    <t>Noval Juanola, Lluis</t>
  </si>
  <si>
    <t>Oñate Villagrasa, Aitana</t>
  </si>
  <si>
    <t>Ozuna Peña, Josther Alinton</t>
  </si>
  <si>
    <t>Perrone , Valentin</t>
  </si>
  <si>
    <t>Tarira Siia, Brian Douglas</t>
  </si>
  <si>
    <t>Blasco Molné, Pol</t>
  </si>
  <si>
    <t>ASIX2B</t>
  </si>
  <si>
    <t>Daniel García Jiménez</t>
  </si>
  <si>
    <t>Alonso Vialá, Unai</t>
  </si>
  <si>
    <t>Bakali Bakali, Youssef</t>
  </si>
  <si>
    <t>Colomé Fernández, Éric</t>
  </si>
  <si>
    <t>Córdoba Bañol, David</t>
  </si>
  <si>
    <t>Dumont Córcoles, Ismael</t>
  </si>
  <si>
    <t>Gondal Batool, Sheharyar Ali</t>
  </si>
  <si>
    <t>Jaraiz Bravo, Nicolás</t>
  </si>
  <si>
    <t>Maggiorotto Boix, Gianluca</t>
  </si>
  <si>
    <t>Perez Paulino, Andrés</t>
  </si>
  <si>
    <t xml:space="preserve">Sabata Vives, Carla </t>
  </si>
  <si>
    <t>Sama Morillas, Raul</t>
  </si>
  <si>
    <t>Sullka, Maria Cecilia</t>
  </si>
  <si>
    <t>Viagel López, Jorge</t>
  </si>
  <si>
    <t>DAMCOM</t>
  </si>
  <si>
    <t>Diaz Jiménez, Ernesto</t>
  </si>
  <si>
    <t>González Díaz, Francisco</t>
  </si>
  <si>
    <t>González Márquez, Iván</t>
  </si>
  <si>
    <t>Jiménez Amigó, Eric</t>
  </si>
  <si>
    <t>Li Chen, Cha</t>
  </si>
  <si>
    <t>Masip Ibáñez, Jordi</t>
  </si>
  <si>
    <t>Melguizo Sebastiá, Carolina</t>
  </si>
  <si>
    <t xml:space="preserve">Muñoz Baena, Miguel </t>
  </si>
  <si>
    <t>DAW2B</t>
  </si>
  <si>
    <t>de la Cruz Pagà, Guillem</t>
  </si>
  <si>
    <t>Juan Manuel Sánchez Bel</t>
  </si>
  <si>
    <t>Llorens Espín, Erik</t>
  </si>
  <si>
    <t>Lloret Mateos, Lucía</t>
  </si>
  <si>
    <t xml:space="preserve">Rubio Rosales, Aitor </t>
  </si>
  <si>
    <t>Sevilla Medina, Adrian</t>
  </si>
  <si>
    <t>DAW2A</t>
  </si>
  <si>
    <t>Arias Piferrer, Judit</t>
  </si>
  <si>
    <t>Roger Sobrino Gil</t>
  </si>
  <si>
    <t>Bosch i Pérez, Pau</t>
  </si>
  <si>
    <t>Sanchez Salas, Cristina</t>
  </si>
  <si>
    <t>Sau López, Joan</t>
  </si>
  <si>
    <t>DAM2A</t>
  </si>
  <si>
    <t>Pendent</t>
  </si>
  <si>
    <t>Roger Sobrino</t>
  </si>
  <si>
    <t>Juanma Sanchez</t>
  </si>
  <si>
    <t>Toni Aguilar</t>
  </si>
  <si>
    <t>Dani Garcia</t>
  </si>
  <si>
    <t>Maria Olivella</t>
  </si>
  <si>
    <t>Lunes</t>
  </si>
  <si>
    <t>Martes</t>
  </si>
  <si>
    <t>Miercoles</t>
  </si>
  <si>
    <t>Jueves</t>
  </si>
  <si>
    <t>Viernes</t>
  </si>
  <si>
    <t>08:00-09:00</t>
  </si>
  <si>
    <t>Out</t>
  </si>
  <si>
    <t>09:00-10:00</t>
  </si>
  <si>
    <t>Car</t>
  </si>
  <si>
    <t>Class</t>
  </si>
  <si>
    <t>10:00-11:00</t>
  </si>
  <si>
    <t>11:00-11:30</t>
  </si>
  <si>
    <t>Desc</t>
  </si>
  <si>
    <t>11:30-12:30</t>
  </si>
  <si>
    <t>Gua</t>
  </si>
  <si>
    <t>12:30-13:30</t>
  </si>
  <si>
    <t>13:30-14:30</t>
  </si>
  <si>
    <t>Coor</t>
  </si>
  <si>
    <t>14:30-15:30</t>
  </si>
  <si>
    <t>C.Tut</t>
  </si>
  <si>
    <t>15:30-16:30</t>
  </si>
  <si>
    <t>Proj</t>
  </si>
  <si>
    <t>16:30-17:30</t>
  </si>
  <si>
    <t>17:30-18:00</t>
  </si>
  <si>
    <t>18:00-19:00</t>
  </si>
  <si>
    <t>19:00-20:00</t>
  </si>
  <si>
    <t>20:00-21:00</t>
  </si>
  <si>
    <t>Tut</t>
  </si>
  <si>
    <t>CALENDARI CURS 2025 - 2026</t>
  </si>
  <si>
    <t>SETEMBRE 2025</t>
  </si>
  <si>
    <t>OCTUBRE 2025</t>
  </si>
  <si>
    <t>NOVEMBRE 2025</t>
  </si>
  <si>
    <t>DESEMBRE 2025</t>
  </si>
  <si>
    <t>Dl.</t>
  </si>
  <si>
    <t>Dm.</t>
  </si>
  <si>
    <t>Dc.</t>
  </si>
  <si>
    <t>Dj.</t>
  </si>
  <si>
    <t>Dv.</t>
  </si>
  <si>
    <t>Ds.</t>
  </si>
  <si>
    <t>Dg.</t>
  </si>
  <si>
    <t>-</t>
  </si>
  <si>
    <t>Acum</t>
  </si>
  <si>
    <t>GENER 2026</t>
  </si>
  <si>
    <t>FEBRER 2026</t>
  </si>
  <si>
    <t>MARÇ 2026</t>
  </si>
  <si>
    <t>Descans setmanal, festius, lliure disposició i vacances.</t>
  </si>
  <si>
    <t>Inici i final del curs.</t>
  </si>
  <si>
    <t>Finals de trimestre a efectes d'avaluacions parcials.</t>
  </si>
  <si>
    <t>Juntes d'avaluació.</t>
  </si>
  <si>
    <t>Segona convocatòria.</t>
  </si>
  <si>
    <t>Jornades especials (ciberweek, JEDAI, graduació, portes obertes, entrega de notes...).</t>
  </si>
  <si>
    <t>Jornada amb horari setmanal modificat.</t>
  </si>
  <si>
    <t>Períodes sense alumnat (tràmits, organització...).</t>
  </si>
  <si>
    <t>ABRIL 2026</t>
  </si>
  <si>
    <t>MAIG 2026</t>
  </si>
  <si>
    <t>JUNY 2026</t>
  </si>
  <si>
    <t>JULIOL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</si>
</sst>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/m/yyyy"/>
    <numFmt numFmtId="166" formatCode="dd/mm"/>
    <numFmt numFmtId="167" formatCode="d/m/yyyy h:mm"/>
    <numFmt numFmtId="168" formatCode="dddd d/m/yy"/>
    <numFmt numFmtId="169" formatCode="dd/mm/yyyy h:mm"/>
  </numFmts>
  <fonts count="28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FFFFFF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sz val="10.0"/>
      <color rgb="FF333333"/>
      <name val="Arial"/>
      <scheme val="minor"/>
    </font>
    <font>
      <color theme="1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2.0"/>
      <color theme="1"/>
      <name val="Arial"/>
    </font>
    <font>
      <u/>
      <color theme="1"/>
      <name val="Arial"/>
    </font>
    <font>
      <u/>
      <color theme="1"/>
      <name val="Arial"/>
    </font>
    <font>
      <sz val="11.0"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sz val="14.0"/>
      <color theme="1"/>
      <name val="Arial"/>
    </font>
    <font>
      <b/>
      <color rgb="FFFFFFFF"/>
      <name val="Arial"/>
    </font>
    <font>
      <b/>
      <sz val="7.0"/>
      <color theme="1"/>
      <name val="Arial"/>
    </font>
    <font>
      <b/>
      <color rgb="FFFF0000"/>
      <name val="Arial"/>
    </font>
    <font>
      <color rgb="FFCC0000"/>
      <name val="Arial"/>
    </font>
    <font>
      <b/>
      <sz val="8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46BDC6"/>
        <bgColor rgb="FF46BDC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0B5394"/>
        <bgColor rgb="FF0B5394"/>
      </patternFill>
    </fill>
    <fill>
      <patternFill patternType="solid">
        <fgColor rgb="FF99C0B7"/>
        <bgColor rgb="FF99C0B7"/>
      </patternFill>
    </fill>
    <fill>
      <patternFill patternType="solid">
        <fgColor rgb="FFFFF2CC"/>
        <bgColor rgb="FFFFF2CC"/>
      </patternFill>
    </fill>
    <fill>
      <patternFill patternType="solid">
        <fgColor rgb="FFF3DBDB"/>
        <bgColor rgb="FFF3DBDB"/>
      </patternFill>
    </fill>
    <fill>
      <patternFill patternType="solid">
        <fgColor rgb="FF53B76D"/>
        <bgColor rgb="FF53B76D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ck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/>
    </border>
    <border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shrinkToFit="0" vertical="bottom" wrapText="0"/>
    </xf>
    <xf borderId="3" fillId="0" fontId="3" numFmtId="0" xfId="0" applyBorder="1" applyFont="1"/>
    <xf borderId="2" fillId="3" fontId="2" numFmtId="9" xfId="0" applyAlignment="1" applyBorder="1" applyFont="1" applyNumberFormat="1">
      <alignment horizontal="center" readingOrder="0" shrinkToFit="0" vertical="bottom" wrapText="0"/>
    </xf>
    <xf borderId="2" fillId="3" fontId="2" numFmtId="10" xfId="0" applyAlignment="1" applyBorder="1" applyFont="1" applyNumberFormat="1">
      <alignment horizontal="center" readingOrder="0" shrinkToFit="0" vertical="bottom" wrapText="0"/>
    </xf>
    <xf borderId="2" fillId="3" fontId="2" numFmtId="9" xfId="0" applyAlignment="1" applyBorder="1" applyFont="1" applyNumberFormat="1">
      <alignment horizontal="center" shrinkToFit="0" vertical="bottom" wrapText="0"/>
    </xf>
    <xf borderId="0" fillId="4" fontId="4" numFmtId="0" xfId="0" applyAlignment="1" applyFill="1" applyFont="1">
      <alignment horizontal="center" readingOrder="0" shrinkToFit="0" textRotation="90" vertical="center" wrapText="0"/>
    </xf>
    <xf borderId="3" fillId="0" fontId="5" numFmtId="0" xfId="0" applyAlignment="1" applyBorder="1" applyFont="1">
      <alignment horizontal="left" readingOrder="0" shrinkToFit="0" vertical="bottom" wrapText="0"/>
    </xf>
    <xf borderId="3" fillId="0" fontId="5" numFmtId="2" xfId="0" applyAlignment="1" applyBorder="1" applyFont="1" applyNumberFormat="1">
      <alignment readingOrder="0" shrinkToFit="0" vertical="bottom" wrapText="0"/>
    </xf>
    <xf borderId="3" fillId="0" fontId="5" numFmtId="2" xfId="0" applyAlignment="1" applyBorder="1" applyFont="1" applyNumberFormat="1">
      <alignment shrinkToFit="0" vertical="bottom" wrapText="0"/>
    </xf>
    <xf borderId="4" fillId="0" fontId="6" numFmtId="0" xfId="0" applyAlignment="1" applyBorder="1" applyFont="1">
      <alignment readingOrder="0"/>
    </xf>
    <xf borderId="2" fillId="0" fontId="7" numFmtId="164" xfId="0" applyAlignment="1" applyBorder="1" applyFont="1" applyNumberFormat="1">
      <alignment readingOrder="0"/>
    </xf>
    <xf borderId="3" fillId="0" fontId="7" numFmtId="0" xfId="0" applyAlignment="1" applyBorder="1" applyFont="1">
      <alignment readingOrder="0"/>
    </xf>
    <xf borderId="3" fillId="0" fontId="7" numFmtId="0" xfId="0" applyBorder="1" applyFont="1"/>
    <xf borderId="0" fillId="0" fontId="7" numFmtId="0" xfId="0" applyAlignment="1" applyFont="1">
      <alignment readingOrder="0"/>
    </xf>
    <xf borderId="0" fillId="0" fontId="5" numFmtId="2" xfId="0" applyAlignment="1" applyFont="1" applyNumberForma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vertical="bottom" wrapText="0"/>
    </xf>
    <xf borderId="2" fillId="0" fontId="5" numFmtId="2" xfId="0" applyAlignment="1" applyBorder="1" applyFont="1" applyNumberFormat="1">
      <alignment readingOrder="0" shrinkToFit="0" vertical="bottom" wrapText="0"/>
    </xf>
    <xf borderId="2" fillId="0" fontId="5" numFmtId="2" xfId="0" applyAlignment="1" applyBorder="1" applyFont="1" applyNumberFormat="1">
      <alignment shrinkToFit="0" vertical="bottom" wrapText="0"/>
    </xf>
    <xf borderId="2" fillId="0" fontId="7" numFmtId="0" xfId="0" applyBorder="1" applyFont="1"/>
    <xf borderId="2" fillId="0" fontId="7" numFmtId="0" xfId="0" applyAlignment="1" applyBorder="1" applyFont="1">
      <alignment readingOrder="0"/>
    </xf>
    <xf borderId="2" fillId="0" fontId="7" numFmtId="164" xfId="0" applyAlignment="1" applyBorder="1" applyFont="1" applyNumberFormat="1">
      <alignment horizontal="right" readingOrder="0"/>
    </xf>
    <xf borderId="5" fillId="0" fontId="3" numFmtId="0" xfId="0" applyBorder="1" applyFont="1"/>
    <xf borderId="6" fillId="5" fontId="5" numFmtId="0" xfId="0" applyAlignment="1" applyBorder="1" applyFont="1">
      <alignment horizontal="left" readingOrder="0" shrinkToFit="0" vertical="bottom" wrapText="0"/>
    </xf>
    <xf borderId="6" fillId="0" fontId="5" numFmtId="2" xfId="0" applyAlignment="1" applyBorder="1" applyFont="1" applyNumberFormat="1">
      <alignment readingOrder="0" shrinkToFit="0" vertical="bottom" wrapText="0"/>
    </xf>
    <xf borderId="6" fillId="0" fontId="5" numFmtId="2" xfId="0" applyAlignment="1" applyBorder="1" applyFont="1" applyNumberFormat="1">
      <alignment shrinkToFit="0" vertical="bottom" wrapText="0"/>
    </xf>
    <xf borderId="5" fillId="0" fontId="7" numFmtId="0" xfId="0" applyBorder="1" applyFont="1"/>
    <xf borderId="6" fillId="0" fontId="7" numFmtId="0" xfId="0" applyAlignment="1" applyBorder="1" applyFont="1">
      <alignment readingOrder="0"/>
    </xf>
    <xf borderId="3" fillId="5" fontId="5" numFmtId="0" xfId="0" applyAlignment="1" applyBorder="1" applyFont="1">
      <alignment horizontal="left" readingOrder="0" shrinkToFit="0" vertical="bottom" wrapText="0"/>
    </xf>
    <xf borderId="3" fillId="0" fontId="7" numFmtId="164" xfId="0" applyAlignment="1" applyBorder="1" applyFont="1" applyNumberFormat="1">
      <alignment readingOrder="0"/>
    </xf>
    <xf borderId="7" fillId="0" fontId="5" numFmtId="0" xfId="0" applyAlignment="1" applyBorder="1" applyFont="1">
      <alignment horizontal="left" readingOrder="0" shrinkToFit="0" vertical="bottom" wrapText="0"/>
    </xf>
    <xf borderId="2" fillId="0" fontId="7" numFmtId="165" xfId="0" applyAlignment="1" applyBorder="1" applyFont="1" applyNumberFormat="1">
      <alignment readingOrder="0"/>
    </xf>
    <xf borderId="2" fillId="0" fontId="5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0" fillId="4" fontId="4" numFmtId="166" xfId="0" applyAlignment="1" applyFont="1" applyNumberFormat="1">
      <alignment horizontal="center" readingOrder="0" shrinkToFit="0" textRotation="90" vertical="center" wrapText="0"/>
    </xf>
    <xf borderId="2" fillId="5" fontId="5" numFmtId="0" xfId="0" applyAlignment="1" applyBorder="1" applyFont="1">
      <alignment horizontal="left" shrinkToFit="0" vertical="bottom" wrapText="0"/>
    </xf>
    <xf borderId="6" fillId="5" fontId="5" numFmtId="0" xfId="0" applyAlignment="1" applyBorder="1" applyFont="1">
      <alignment horizontal="left" shrinkToFit="0" vertical="bottom" wrapText="0"/>
    </xf>
    <xf borderId="6" fillId="0" fontId="7" numFmtId="0" xfId="0" applyBorder="1" applyFont="1"/>
    <xf borderId="0" fillId="0" fontId="7" numFmtId="0" xfId="0" applyFont="1"/>
    <xf borderId="0" fillId="0" fontId="5" numFmtId="0" xfId="0" applyAlignment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1" fillId="0" fontId="5" numFmtId="2" xfId="0" applyAlignment="1" applyBorder="1" applyFont="1" applyNumberFormat="1">
      <alignment readingOrder="0" shrinkToFit="0" vertical="bottom" wrapText="0"/>
    </xf>
    <xf borderId="1" fillId="0" fontId="5" numFmtId="2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4" fontId="4" numFmtId="0" xfId="0" applyAlignment="1" applyFont="1">
      <alignment horizontal="center" readingOrder="0" shrinkToFit="0" vertical="center" wrapText="1"/>
    </xf>
    <xf borderId="9" fillId="4" fontId="4" numFmtId="0" xfId="0" applyAlignment="1" applyBorder="1" applyFont="1">
      <alignment horizontal="center" readingOrder="0" shrinkToFit="0" vertical="center" wrapText="1"/>
    </xf>
    <xf borderId="10" fillId="4" fontId="4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6" fontId="8" numFmtId="0" xfId="0" applyAlignment="1" applyBorder="1" applyFill="1" applyFont="1">
      <alignment shrinkToFit="0" vertical="top" wrapText="1"/>
    </xf>
    <xf borderId="14" fillId="6" fontId="9" numFmtId="0" xfId="0" applyAlignment="1" applyBorder="1" applyFont="1">
      <alignment shrinkToFit="0" vertical="top" wrapText="1"/>
    </xf>
    <xf borderId="15" fillId="6" fontId="9" numFmtId="0" xfId="0" applyAlignment="1" applyBorder="1" applyFont="1">
      <alignment shrinkToFit="0" vertical="top" wrapText="1"/>
    </xf>
    <xf borderId="16" fillId="6" fontId="9" numFmtId="0" xfId="0" applyAlignment="1" applyBorder="1" applyFont="1">
      <alignment shrinkToFit="0" vertical="top" wrapText="1"/>
    </xf>
    <xf borderId="17" fillId="6" fontId="5" numFmtId="0" xfId="0" applyAlignment="1" applyBorder="1" applyFont="1">
      <alignment horizontal="center" readingOrder="0" shrinkToFit="0" vertical="center" wrapText="1"/>
    </xf>
    <xf borderId="18" fillId="6" fontId="5" numFmtId="0" xfId="0" applyAlignment="1" applyBorder="1" applyFont="1">
      <alignment horizontal="center" readingOrder="0" shrinkToFit="0" vertical="center" wrapText="1"/>
    </xf>
    <xf borderId="10" fillId="6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9" fillId="6" fontId="5" numFmtId="0" xfId="0" applyAlignment="1" applyBorder="1" applyFont="1">
      <alignment horizontal="center" readingOrder="0" shrinkToFit="0" vertical="center" wrapText="1"/>
    </xf>
    <xf borderId="20" fillId="6" fontId="5" numFmtId="0" xfId="0" applyAlignment="1" applyBorder="1" applyFont="1">
      <alignment horizontal="center" readingOrder="0" shrinkToFit="0" vertical="center" wrapText="1"/>
    </xf>
    <xf borderId="21" fillId="6" fontId="5" numFmtId="0" xfId="0" applyAlignment="1" applyBorder="1" applyFont="1">
      <alignment horizontal="center" readingOrder="0" shrinkToFit="0" vertical="center" wrapText="1"/>
    </xf>
    <xf borderId="20" fillId="6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22" fillId="6" fontId="8" numFmtId="0" xfId="0" applyAlignment="1" applyBorder="1" applyFont="1">
      <alignment shrinkToFit="0" vertical="top" wrapText="1"/>
    </xf>
    <xf borderId="23" fillId="6" fontId="8" numFmtId="0" xfId="0" applyAlignment="1" applyBorder="1" applyFont="1">
      <alignment shrinkToFit="0" vertical="top" wrapText="1"/>
    </xf>
    <xf borderId="24" fillId="6" fontId="8" numFmtId="0" xfId="0" applyAlignment="1" applyBorder="1" applyFont="1">
      <alignment shrinkToFit="0" vertical="top" wrapText="1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1" fillId="0" fontId="8" numFmtId="0" xfId="0" applyAlignment="1" applyBorder="1" applyFont="1">
      <alignment shrinkToFit="0" vertical="top" wrapText="1"/>
    </xf>
    <xf borderId="21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8" fillId="0" fontId="9" numFmtId="0" xfId="0" applyAlignment="1" applyBorder="1" applyFont="1">
      <alignment shrinkToFit="0" vertical="top" wrapText="1"/>
    </xf>
    <xf borderId="17" fillId="0" fontId="5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shrinkToFit="0" vertical="top" wrapText="1"/>
    </xf>
    <xf borderId="26" fillId="0" fontId="8" numFmtId="0" xfId="0" applyAlignment="1" applyBorder="1" applyFont="1">
      <alignment shrinkToFit="0" vertical="top" wrapText="1"/>
    </xf>
    <xf borderId="15" fillId="6" fontId="8" numFmtId="0" xfId="0" applyAlignment="1" applyBorder="1" applyFont="1">
      <alignment shrinkToFit="0" vertical="top" wrapText="1"/>
    </xf>
    <xf borderId="2" fillId="3" fontId="8" numFmtId="0" xfId="0" applyAlignment="1" applyBorder="1" applyFont="1">
      <alignment shrinkToFit="0" vertical="center" wrapText="1"/>
    </xf>
    <xf borderId="2" fillId="3" fontId="9" numFmtId="0" xfId="0" applyAlignment="1" applyBorder="1" applyFont="1">
      <alignment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11" fillId="3" fontId="5" numFmtId="2" xfId="0" applyAlignment="1" applyBorder="1" applyFont="1" applyNumberFormat="1">
      <alignment horizontal="center" shrinkToFit="0" vertical="center" wrapText="1"/>
    </xf>
    <xf borderId="2" fillId="3" fontId="5" numFmtId="2" xfId="0" applyAlignment="1" applyBorder="1" applyFont="1" applyNumberFormat="1">
      <alignment horizontal="center" shrinkToFit="0" vertical="center" wrapText="1"/>
    </xf>
    <xf borderId="8" fillId="3" fontId="5" numFmtId="2" xfId="0" applyAlignment="1" applyBorder="1" applyFont="1" applyNumberFormat="1">
      <alignment horizontal="center" shrinkToFit="0" vertical="center" wrapText="1"/>
    </xf>
    <xf borderId="12" fillId="3" fontId="5" numFmtId="2" xfId="0" applyAlignment="1" applyBorder="1" applyFont="1" applyNumberFormat="1">
      <alignment horizontal="center" shrinkToFit="0" vertical="center" wrapText="1"/>
    </xf>
    <xf borderId="7" fillId="3" fontId="5" numFmtId="2" xfId="0" applyAlignment="1" applyBorder="1" applyFont="1" applyNumberFormat="1">
      <alignment horizontal="center" shrinkToFit="0" vertical="center" wrapText="1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30" fillId="0" fontId="5" numFmtId="0" xfId="0" applyAlignment="1" applyBorder="1" applyFont="1">
      <alignment horizontal="center" readingOrder="0" shrinkToFit="0" vertical="center" wrapText="1"/>
    </xf>
    <xf borderId="31" fillId="0" fontId="5" numFmtId="0" xfId="0" applyAlignment="1" applyBorder="1" applyFont="1">
      <alignment horizontal="center" readingOrder="0" shrinkToFit="0" vertical="center" wrapText="1"/>
    </xf>
    <xf borderId="32" fillId="0" fontId="5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shrinkToFit="0" vertical="top" wrapText="1"/>
    </xf>
    <xf borderId="14" fillId="6" fontId="5" numFmtId="0" xfId="0" applyAlignment="1" applyBorder="1" applyFont="1">
      <alignment shrinkToFit="0" vertical="top" wrapText="1"/>
    </xf>
    <xf borderId="15" fillId="6" fontId="5" numFmtId="0" xfId="0" applyAlignment="1" applyBorder="1" applyFont="1">
      <alignment shrinkToFit="0" vertical="top" wrapText="1"/>
    </xf>
    <xf borderId="16" fillId="6" fontId="5" numFmtId="0" xfId="0" applyAlignment="1" applyBorder="1" applyFont="1">
      <alignment shrinkToFit="0" vertical="top" wrapText="1"/>
    </xf>
    <xf borderId="33" fillId="6" fontId="5" numFmtId="0" xfId="0" applyAlignment="1" applyBorder="1" applyFont="1">
      <alignment horizontal="center" readingOrder="0" shrinkToFit="0" vertical="center" wrapText="0"/>
    </xf>
    <xf borderId="0" fillId="6" fontId="5" numFmtId="0" xfId="0" applyAlignment="1" applyFont="1">
      <alignment horizontal="center" readingOrder="0" shrinkToFit="0" vertical="center" wrapText="0"/>
    </xf>
    <xf borderId="34" fillId="6" fontId="5" numFmtId="0" xfId="0" applyAlignment="1" applyBorder="1" applyFont="1">
      <alignment horizontal="center" readingOrder="0" shrinkToFit="0" vertical="center" wrapText="0"/>
    </xf>
    <xf borderId="35" fillId="6" fontId="5" numFmtId="0" xfId="0" applyAlignment="1" applyBorder="1" applyFont="1">
      <alignment horizontal="center" readingOrder="0" shrinkToFit="0" vertical="center" wrapText="0"/>
    </xf>
    <xf borderId="36" fillId="6" fontId="5" numFmtId="0" xfId="0" applyAlignment="1" applyBorder="1" applyFont="1">
      <alignment horizontal="center" readingOrder="0" shrinkToFit="0" vertical="center" wrapText="0"/>
    </xf>
    <xf borderId="33" fillId="6" fontId="5" numFmtId="0" xfId="0" applyAlignment="1" applyBorder="1" applyFont="1">
      <alignment horizontal="center" shrinkToFit="0" vertical="center" wrapText="0"/>
    </xf>
    <xf borderId="35" fillId="6" fontId="5" numFmtId="0" xfId="0" applyAlignment="1" applyBorder="1" applyFont="1">
      <alignment horizontal="center" shrinkToFit="0" vertical="center" wrapText="0"/>
    </xf>
    <xf borderId="37" fillId="6" fontId="5" numFmtId="0" xfId="0" applyAlignment="1" applyBorder="1" applyFont="1">
      <alignment horizontal="center" shrinkToFit="0" vertical="center" wrapText="0"/>
    </xf>
    <xf borderId="22" fillId="6" fontId="4" numFmtId="0" xfId="0" applyAlignment="1" applyBorder="1" applyFont="1">
      <alignment shrinkToFit="0" vertical="top" wrapText="1"/>
    </xf>
    <xf borderId="23" fillId="6" fontId="4" numFmtId="0" xfId="0" applyAlignment="1" applyBorder="1" applyFont="1">
      <alignment shrinkToFit="0" vertical="top" wrapText="1"/>
    </xf>
    <xf borderId="24" fillId="6" fontId="4" numFmtId="0" xfId="0" applyAlignment="1" applyBorder="1" applyFont="1">
      <alignment shrinkToFit="0" vertical="top" wrapText="1"/>
    </xf>
    <xf borderId="38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4" fillId="5" fontId="5" numFmtId="0" xfId="0" applyAlignment="1" applyBorder="1" applyFont="1">
      <alignment shrinkToFit="0" vertical="top" wrapText="1"/>
    </xf>
    <xf borderId="15" fillId="5" fontId="5" numFmtId="0" xfId="0" applyAlignment="1" applyBorder="1" applyFont="1">
      <alignment shrinkToFit="0" vertical="top" wrapText="1"/>
    </xf>
    <xf borderId="16" fillId="5" fontId="5" numFmtId="0" xfId="0" applyAlignment="1" applyBorder="1" applyFont="1">
      <alignment shrinkToFit="0" vertical="top" wrapText="1"/>
    </xf>
    <xf borderId="33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35" fillId="0" fontId="5" numFmtId="0" xfId="0" applyAlignment="1" applyBorder="1" applyFont="1">
      <alignment horizontal="center" readingOrder="0" shrinkToFit="0" vertical="center" wrapText="0"/>
    </xf>
    <xf borderId="36" fillId="0" fontId="5" numFmtId="0" xfId="0" applyAlignment="1" applyBorder="1" applyFont="1">
      <alignment horizontal="center" readingOrder="0" shrinkToFit="0" vertical="center" wrapText="0"/>
    </xf>
    <xf borderId="33" fillId="0" fontId="5" numFmtId="0" xfId="0" applyAlignment="1" applyBorder="1" applyFont="1">
      <alignment horizontal="center" shrinkToFit="0" vertical="center" wrapText="0"/>
    </xf>
    <xf borderId="35" fillId="0" fontId="5" numFmtId="0" xfId="0" applyAlignment="1" applyBorder="1" applyFont="1">
      <alignment horizontal="center" shrinkToFit="0" vertical="center" wrapText="0"/>
    </xf>
    <xf borderId="29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26" fillId="0" fontId="4" numFmtId="0" xfId="0" applyAlignment="1" applyBorder="1" applyFont="1">
      <alignment shrinkToFit="0" vertical="top" wrapText="1"/>
    </xf>
    <xf borderId="4" fillId="6" fontId="5" numFmtId="0" xfId="0" applyAlignment="1" applyBorder="1" applyFont="1">
      <alignment horizontal="center" readingOrder="0" shrinkToFit="0" vertical="center" wrapText="0"/>
    </xf>
    <xf borderId="37" fillId="6" fontId="5" numFmtId="0" xfId="0" applyAlignment="1" applyBorder="1" applyFont="1">
      <alignment horizontal="center" readingOrder="0" shrinkToFit="0" vertical="center" wrapText="0"/>
    </xf>
    <xf borderId="39" fillId="6" fontId="5" numFmtId="0" xfId="0" applyAlignment="1" applyBorder="1" applyFont="1">
      <alignment horizontal="center" readingOrder="0" shrinkToFit="0" vertical="center" wrapText="0"/>
    </xf>
    <xf borderId="40" fillId="6" fontId="5" numFmtId="0" xfId="0" applyAlignment="1" applyBorder="1" applyFont="1">
      <alignment horizontal="center" readingOrder="0" shrinkToFit="0" vertical="center" wrapText="0"/>
    </xf>
    <xf borderId="39" fillId="6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top" wrapText="1"/>
    </xf>
    <xf borderId="21" fillId="0" fontId="5" numFmtId="0" xfId="0" applyAlignment="1" applyBorder="1" applyFont="1">
      <alignment shrinkToFit="0" vertical="top" wrapText="1"/>
    </xf>
    <xf borderId="18" fillId="0" fontId="5" numFmtId="0" xfId="0" applyAlignment="1" applyBorder="1" applyFont="1">
      <alignment shrinkToFit="0" vertical="top" wrapText="1"/>
    </xf>
    <xf borderId="2" fillId="3" fontId="4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3" fontId="5" numFmtId="2" xfId="0" applyAlignment="1" applyBorder="1" applyFont="1" applyNumberFormat="1">
      <alignment horizontal="center" shrinkToFit="0" vertical="center" wrapText="0"/>
    </xf>
    <xf borderId="41" fillId="3" fontId="5" numFmtId="2" xfId="0" applyAlignment="1" applyBorder="1" applyFont="1" applyNumberFormat="1">
      <alignment horizontal="center" shrinkToFit="0" vertical="center" wrapText="0"/>
    </xf>
    <xf borderId="23" fillId="3" fontId="5" numFmtId="2" xfId="0" applyAlignment="1" applyBorder="1" applyFont="1" applyNumberFormat="1">
      <alignment horizontal="center" shrinkToFit="0" vertical="center" wrapText="0"/>
    </xf>
    <xf borderId="42" fillId="3" fontId="5" numFmtId="2" xfId="0" applyAlignment="1" applyBorder="1" applyFont="1" applyNumberFormat="1">
      <alignment horizontal="center" shrinkToFit="0" vertical="center" wrapText="0"/>
    </xf>
    <xf borderId="0" fillId="0" fontId="11" numFmtId="0" xfId="0" applyAlignment="1" applyFont="1">
      <alignment vertical="bottom"/>
    </xf>
    <xf borderId="0" fillId="4" fontId="12" numFmtId="0" xfId="0" applyAlignment="1" applyFont="1">
      <alignment horizontal="center" vertical="bottom"/>
    </xf>
    <xf borderId="0" fillId="4" fontId="11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7" fontId="11" numFmtId="167" xfId="0" applyAlignment="1" applyFill="1" applyFont="1" applyNumberFormat="1">
      <alignment horizontal="right" readingOrder="0" vertical="bottom"/>
    </xf>
    <xf borderId="0" fillId="7" fontId="11" numFmtId="0" xfId="0" applyAlignment="1" applyFont="1">
      <alignment horizontal="right" readingOrder="0" vertical="bottom"/>
    </xf>
    <xf borderId="0" fillId="7" fontId="13" numFmtId="0" xfId="0" applyAlignment="1" applyFont="1">
      <alignment vertical="bottom"/>
    </xf>
    <xf borderId="0" fillId="7" fontId="14" numFmtId="0" xfId="0" applyAlignment="1" applyFont="1">
      <alignment readingOrder="0" vertical="bottom"/>
    </xf>
    <xf borderId="0" fillId="7" fontId="11" numFmtId="0" xfId="0" applyAlignment="1" applyFont="1">
      <alignment readingOrder="0" vertical="bottom"/>
    </xf>
    <xf borderId="0" fillId="8" fontId="11" numFmtId="167" xfId="0" applyAlignment="1" applyFill="1" applyFont="1" applyNumberFormat="1">
      <alignment horizontal="right" readingOrder="0" vertical="bottom"/>
    </xf>
    <xf borderId="0" fillId="8" fontId="11" numFmtId="0" xfId="0" applyAlignment="1" applyFont="1">
      <alignment horizontal="right" readingOrder="0" vertical="bottom"/>
    </xf>
    <xf borderId="0" fillId="8" fontId="11" numFmtId="168" xfId="0" applyAlignment="1" applyFont="1" applyNumberFormat="1">
      <alignment horizontal="left" vertical="bottom"/>
    </xf>
    <xf borderId="0" fillId="8" fontId="15" numFmtId="0" xfId="0" applyAlignment="1" applyFont="1">
      <alignment readingOrder="0" vertical="bottom"/>
    </xf>
    <xf borderId="0" fillId="8" fontId="11" numFmtId="0" xfId="0" applyAlignment="1" applyFont="1">
      <alignment readingOrder="0" vertical="bottom"/>
    </xf>
    <xf borderId="0" fillId="8" fontId="11" numFmtId="169" xfId="0" applyAlignment="1" applyFont="1" applyNumberFormat="1">
      <alignment horizontal="right" vertical="bottom"/>
    </xf>
    <xf borderId="0" fillId="8" fontId="16" numFmtId="0" xfId="0" applyAlignment="1" applyFont="1">
      <alignment vertical="bottom"/>
    </xf>
    <xf borderId="0" fillId="8" fontId="11" numFmtId="0" xfId="0" applyAlignment="1" applyFont="1">
      <alignment vertical="bottom"/>
    </xf>
    <xf borderId="0" fillId="8" fontId="16" numFmtId="49" xfId="0" applyAlignment="1" applyFont="1" applyNumberFormat="1">
      <alignment vertical="bottom"/>
    </xf>
    <xf borderId="0" fillId="8" fontId="13" numFmtId="0" xfId="0" applyAlignment="1" applyFont="1">
      <alignment vertical="bottom"/>
    </xf>
    <xf borderId="0" fillId="8" fontId="11" numFmtId="169" xfId="0" applyAlignment="1" applyFont="1" applyNumberFormat="1">
      <alignment horizontal="right" readingOrder="0" vertical="bottom"/>
    </xf>
    <xf borderId="0" fillId="9" fontId="11" numFmtId="169" xfId="0" applyAlignment="1" applyFill="1" applyFont="1" applyNumberFormat="1">
      <alignment horizontal="right" vertical="bottom"/>
    </xf>
    <xf borderId="0" fillId="9" fontId="11" numFmtId="0" xfId="0" applyAlignment="1" applyFont="1">
      <alignment horizontal="right" readingOrder="0" vertical="bottom"/>
    </xf>
    <xf borderId="0" fillId="9" fontId="11" numFmtId="168" xfId="0" applyAlignment="1" applyFont="1" applyNumberFormat="1">
      <alignment horizontal="left" vertical="bottom"/>
    </xf>
    <xf borderId="0" fillId="9" fontId="17" numFmtId="0" xfId="0" applyAlignment="1" applyFont="1">
      <alignment readingOrder="0" vertical="bottom"/>
    </xf>
    <xf borderId="0" fillId="9" fontId="11" numFmtId="0" xfId="0" applyAlignment="1" applyFont="1">
      <alignment vertical="bottom"/>
    </xf>
    <xf borderId="0" fillId="9" fontId="16" numFmtId="0" xfId="0" applyAlignment="1" applyFont="1">
      <alignment vertical="bottom"/>
    </xf>
    <xf borderId="0" fillId="9" fontId="13" numFmtId="0" xfId="0" applyAlignment="1" applyFont="1">
      <alignment vertical="bottom"/>
    </xf>
    <xf borderId="0" fillId="9" fontId="11" numFmtId="0" xfId="0" applyFont="1"/>
    <xf borderId="0" fillId="9" fontId="16" numFmtId="0" xfId="0" applyAlignment="1" applyFont="1">
      <alignment vertical="top"/>
    </xf>
    <xf borderId="0" fillId="7" fontId="11" numFmtId="169" xfId="0" applyAlignment="1" applyFont="1" applyNumberFormat="1">
      <alignment horizontal="right" readingOrder="0" vertical="bottom"/>
    </xf>
    <xf borderId="0" fillId="7" fontId="11" numFmtId="0" xfId="0" applyAlignment="1" applyFont="1">
      <alignment vertical="bottom"/>
    </xf>
    <xf borderId="0" fillId="7" fontId="11" numFmtId="169" xfId="0" applyAlignment="1" applyFont="1" applyNumberFormat="1">
      <alignment horizontal="right" vertical="bottom"/>
    </xf>
    <xf borderId="0" fillId="7" fontId="16" numFmtId="0" xfId="0" applyAlignment="1" applyFont="1">
      <alignment vertical="bottom"/>
    </xf>
    <xf borderId="0" fillId="10" fontId="11" numFmtId="169" xfId="0" applyAlignment="1" applyFill="1" applyFont="1" applyNumberFormat="1">
      <alignment readingOrder="0" vertical="bottom"/>
    </xf>
    <xf borderId="0" fillId="10" fontId="11" numFmtId="0" xfId="0" applyAlignment="1" applyFont="1">
      <alignment horizontal="right" readingOrder="0" vertical="bottom"/>
    </xf>
    <xf borderId="0" fillId="10" fontId="13" numFmtId="0" xfId="0" applyAlignment="1" applyFont="1">
      <alignment vertical="bottom"/>
    </xf>
    <xf borderId="0" fillId="10" fontId="18" numFmtId="0" xfId="0" applyAlignment="1" applyFont="1">
      <alignment readingOrder="0" vertical="bottom"/>
    </xf>
    <xf borderId="0" fillId="10" fontId="11" numFmtId="0" xfId="0" applyAlignment="1" applyFont="1">
      <alignment vertical="bottom"/>
    </xf>
    <xf borderId="0" fillId="11" fontId="11" numFmtId="169" xfId="0" applyAlignment="1" applyFill="1" applyFont="1" applyNumberFormat="1">
      <alignment readingOrder="0" vertical="bottom"/>
    </xf>
    <xf borderId="0" fillId="11" fontId="11" numFmtId="0" xfId="0" applyAlignment="1" applyFont="1">
      <alignment horizontal="right" readingOrder="0" vertical="bottom"/>
    </xf>
    <xf borderId="0" fillId="11" fontId="16" numFmtId="0" xfId="0" applyAlignment="1" applyFont="1">
      <alignment vertical="bottom"/>
    </xf>
    <xf borderId="0" fillId="11" fontId="19" numFmtId="0" xfId="0" applyAlignment="1" applyFont="1">
      <alignment readingOrder="0" vertical="bottom"/>
    </xf>
    <xf borderId="0" fillId="11" fontId="20" numFmtId="0" xfId="0" applyAlignment="1" applyFont="1">
      <alignment readingOrder="0"/>
    </xf>
    <xf borderId="0" fillId="11" fontId="11" numFmtId="0" xfId="0" applyAlignment="1" applyFont="1">
      <alignment vertical="bottom"/>
    </xf>
    <xf borderId="0" fillId="12" fontId="11" numFmtId="169" xfId="0" applyAlignment="1" applyFill="1" applyFont="1" applyNumberFormat="1">
      <alignment horizontal="right" vertical="bottom"/>
    </xf>
    <xf borderId="0" fillId="12" fontId="11" numFmtId="0" xfId="0" applyAlignment="1" applyFont="1">
      <alignment horizontal="right" readingOrder="0" vertical="bottom"/>
    </xf>
    <xf borderId="0" fillId="12" fontId="11" numFmtId="20" xfId="0" applyAlignment="1" applyFont="1" applyNumberFormat="1">
      <alignment horizontal="left" vertical="bottom"/>
    </xf>
    <xf borderId="0" fillId="12" fontId="21" numFmtId="0" xfId="0" applyAlignment="1" applyFont="1">
      <alignment readingOrder="0" vertical="bottom"/>
    </xf>
    <xf borderId="0" fillId="12" fontId="11" numFmtId="0" xfId="0" applyAlignment="1" applyFont="1">
      <alignment vertical="bottom"/>
    </xf>
    <xf borderId="0" fillId="12" fontId="11" numFmtId="0" xfId="0" applyAlignment="1" applyFont="1">
      <alignment readingOrder="0" vertical="bottom"/>
    </xf>
    <xf borderId="0" fillId="13" fontId="11" numFmtId="0" xfId="0" applyAlignment="1" applyFill="1" applyFont="1">
      <alignment vertical="bottom"/>
    </xf>
    <xf borderId="0" fillId="0" fontId="7" numFmtId="0" xfId="0" applyAlignment="1" applyFont="1">
      <alignment horizontal="center"/>
    </xf>
    <xf borderId="19" fillId="11" fontId="7" numFmtId="0" xfId="0" applyAlignment="1" applyBorder="1" applyFont="1">
      <alignment horizontal="left" readingOrder="0" shrinkToFit="0" textRotation="45" wrapText="0"/>
    </xf>
    <xf borderId="20" fillId="10" fontId="7" numFmtId="0" xfId="0" applyAlignment="1" applyBorder="1" applyFont="1">
      <alignment horizontal="left" readingOrder="0" shrinkToFit="0" textRotation="45" wrapText="0"/>
    </xf>
    <xf borderId="19" fillId="12" fontId="7" numFmtId="0" xfId="0" applyAlignment="1" applyBorder="1" applyFont="1">
      <alignment horizontal="left" readingOrder="0" shrinkToFit="0" textRotation="45" wrapText="0"/>
    </xf>
    <xf borderId="20" fillId="7" fontId="7" numFmtId="0" xfId="0" applyAlignment="1" applyBorder="1" applyFont="1">
      <alignment horizontal="left" readingOrder="0" shrinkToFit="0" textRotation="45" wrapText="0"/>
    </xf>
    <xf borderId="19" fillId="9" fontId="7" numFmtId="0" xfId="0" applyAlignment="1" applyBorder="1" applyFont="1">
      <alignment horizontal="left" readingOrder="0" shrinkToFit="0" textRotation="45" wrapText="0"/>
    </xf>
    <xf borderId="20" fillId="8" fontId="7" numFmtId="0" xfId="0" applyAlignment="1" applyBorder="1" applyFont="1">
      <alignment horizontal="left" readingOrder="0" shrinkToFit="0" textRotation="45" wrapText="0"/>
    </xf>
    <xf borderId="30" fillId="14" fontId="7" numFmtId="0" xfId="0" applyAlignment="1" applyBorder="1" applyFill="1" applyFont="1">
      <alignment horizontal="left" readingOrder="0" shrinkToFit="0" textRotation="45" wrapText="0"/>
    </xf>
    <xf borderId="0" fillId="0" fontId="7" numFmtId="0" xfId="0" applyAlignment="1" applyFont="1">
      <alignment horizontal="left" readingOrder="0" shrinkToFit="0" textRotation="45" wrapText="0"/>
    </xf>
    <xf borderId="0" fillId="0" fontId="7" numFmtId="0" xfId="0" applyAlignment="1" applyFont="1">
      <alignment horizontal="center" readingOrder="0"/>
    </xf>
    <xf borderId="43" fillId="5" fontId="7" numFmtId="0" xfId="0" applyAlignment="1" applyBorder="1" applyFont="1">
      <alignment horizontal="center" readingOrder="0"/>
    </xf>
    <xf borderId="44" fillId="0" fontId="3" numFmtId="0" xfId="0" applyBorder="1" applyFont="1"/>
    <xf borderId="45" fillId="0" fontId="3" numFmtId="0" xfId="0" applyBorder="1" applyFont="1"/>
    <xf borderId="46" fillId="15" fontId="7" numFmtId="0" xfId="0" applyAlignment="1" applyBorder="1" applyFill="1" applyFont="1">
      <alignment horizontal="right" readingOrder="0"/>
    </xf>
    <xf borderId="47" fillId="15" fontId="7" numFmtId="0" xfId="0" applyAlignment="1" applyBorder="1" applyFont="1">
      <alignment horizontal="right" readingOrder="0"/>
    </xf>
    <xf borderId="48" fillId="15" fontId="7" numFmtId="0" xfId="0" applyAlignment="1" applyBorder="1" applyFont="1">
      <alignment horizontal="right" readingOrder="0"/>
    </xf>
    <xf borderId="46" fillId="5" fontId="7" numFmtId="0" xfId="0" applyAlignment="1" applyBorder="1" applyFont="1">
      <alignment horizontal="right" readingOrder="0"/>
    </xf>
    <xf borderId="47" fillId="5" fontId="7" numFmtId="0" xfId="0" applyAlignment="1" applyBorder="1" applyFont="1">
      <alignment horizontal="right" readingOrder="0"/>
    </xf>
    <xf borderId="48" fillId="5" fontId="7" numFmtId="0" xfId="0" applyAlignment="1" applyBorder="1" applyFont="1">
      <alignment horizontal="right" readingOrder="0"/>
    </xf>
    <xf borderId="0" fillId="0" fontId="7" numFmtId="0" xfId="0" applyAlignment="1" applyFont="1">
      <alignment horizontal="right" readingOrder="0"/>
    </xf>
    <xf borderId="11" fillId="15" fontId="7" numFmtId="0" xfId="0" applyAlignment="1" applyBorder="1" applyFont="1">
      <alignment horizontal="right" readingOrder="0"/>
    </xf>
    <xf borderId="12" fillId="15" fontId="7" numFmtId="0" xfId="0" applyAlignment="1" applyBorder="1" applyFont="1">
      <alignment horizontal="right" readingOrder="0"/>
    </xf>
    <xf borderId="49" fillId="15" fontId="7" numFmtId="0" xfId="0" applyAlignment="1" applyBorder="1" applyFont="1">
      <alignment horizontal="right" readingOrder="0"/>
    </xf>
    <xf borderId="11" fillId="16" fontId="7" numFmtId="0" xfId="0" applyAlignment="1" applyBorder="1" applyFill="1" applyFont="1">
      <alignment horizontal="right" readingOrder="0"/>
    </xf>
    <xf borderId="11" fillId="5" fontId="7" numFmtId="0" xfId="0" applyAlignment="1" applyBorder="1" applyFont="1">
      <alignment horizontal="right" readingOrder="0"/>
    </xf>
    <xf borderId="12" fillId="5" fontId="7" numFmtId="0" xfId="0" applyAlignment="1" applyBorder="1" applyFont="1">
      <alignment horizontal="right" readingOrder="0"/>
    </xf>
    <xf borderId="49" fillId="5" fontId="7" numFmtId="0" xfId="0" applyAlignment="1" applyBorder="1" applyFont="1">
      <alignment horizontal="right" readingOrder="0"/>
    </xf>
    <xf borderId="11" fillId="17" fontId="7" numFmtId="0" xfId="0" applyAlignment="1" applyBorder="1" applyFill="1" applyFont="1">
      <alignment horizontal="center" readingOrder="0"/>
    </xf>
    <xf borderId="12" fillId="17" fontId="7" numFmtId="0" xfId="0" applyAlignment="1" applyBorder="1" applyFont="1">
      <alignment horizontal="center" readingOrder="0"/>
    </xf>
    <xf borderId="32" fillId="17" fontId="7" numFmtId="0" xfId="0" applyAlignment="1" applyBorder="1" applyFont="1">
      <alignment horizontal="center" readingOrder="0"/>
    </xf>
    <xf borderId="11" fillId="9" fontId="7" numFmtId="0" xfId="0" applyAlignment="1" applyBorder="1" applyFont="1">
      <alignment horizontal="right" readingOrder="0"/>
    </xf>
    <xf borderId="11" fillId="12" fontId="7" numFmtId="0" xfId="0" applyAlignment="1" applyBorder="1" applyFont="1">
      <alignment horizontal="right" readingOrder="0"/>
    </xf>
    <xf borderId="49" fillId="14" fontId="7" numFmtId="0" xfId="0" applyAlignment="1" applyBorder="1" applyFont="1">
      <alignment horizontal="right" readingOrder="0"/>
    </xf>
    <xf borderId="12" fillId="18" fontId="7" numFmtId="0" xfId="0" applyAlignment="1" applyBorder="1" applyFill="1" applyFont="1">
      <alignment horizontal="right" readingOrder="0"/>
    </xf>
    <xf borderId="12" fillId="8" fontId="7" numFmtId="0" xfId="0" applyAlignment="1" applyBorder="1" applyFont="1">
      <alignment horizontal="right" readingOrder="0"/>
    </xf>
    <xf borderId="11" fillId="17" fontId="7" numFmtId="0" xfId="0" applyAlignment="1" applyBorder="1" applyFont="1">
      <alignment horizontal="right" readingOrder="0"/>
    </xf>
    <xf borderId="12" fillId="7" fontId="7" numFmtId="0" xfId="0" applyAlignment="1" applyBorder="1" applyFont="1">
      <alignment horizontal="right" readingOrder="0"/>
    </xf>
    <xf borderId="49" fillId="8" fontId="7" numFmtId="0" xfId="0" applyAlignment="1" applyBorder="1" applyFont="1">
      <alignment horizontal="right" readingOrder="0"/>
    </xf>
    <xf borderId="12" fillId="17" fontId="7" numFmtId="0" xfId="0" applyAlignment="1" applyBorder="1" applyFont="1">
      <alignment horizontal="right" readingOrder="0"/>
    </xf>
    <xf borderId="50" fillId="16" fontId="7" numFmtId="0" xfId="0" applyAlignment="1" applyBorder="1" applyFont="1">
      <alignment horizontal="right" readingOrder="0"/>
    </xf>
    <xf borderId="51" fillId="15" fontId="7" numFmtId="0" xfId="0" applyAlignment="1" applyBorder="1" applyFont="1">
      <alignment horizontal="right" readingOrder="0"/>
    </xf>
    <xf borderId="50" fillId="15" fontId="7" numFmtId="0" xfId="0" applyAlignment="1" applyBorder="1" applyFont="1">
      <alignment horizontal="right" readingOrder="0"/>
    </xf>
    <xf borderId="52" fillId="15" fontId="7" numFmtId="0" xfId="0" applyAlignment="1" applyBorder="1" applyFont="1">
      <alignment horizontal="right" readingOrder="0"/>
    </xf>
    <xf borderId="50" fillId="5" fontId="7" numFmtId="0" xfId="0" applyAlignment="1" applyBorder="1" applyFont="1">
      <alignment horizontal="right" readingOrder="0"/>
    </xf>
    <xf borderId="51" fillId="18" fontId="7" numFmtId="0" xfId="0" applyAlignment="1" applyBorder="1" applyFont="1">
      <alignment horizontal="right" readingOrder="0"/>
    </xf>
    <xf borderId="51" fillId="5" fontId="7" numFmtId="0" xfId="0" applyAlignment="1" applyBorder="1" applyFont="1">
      <alignment horizontal="right" readingOrder="0"/>
    </xf>
    <xf borderId="52" fillId="5" fontId="7" numFmtId="0" xfId="0" applyAlignment="1" applyBorder="1" applyFont="1">
      <alignment horizontal="right" readingOrder="0"/>
    </xf>
    <xf borderId="0" fillId="5" fontId="7" numFmtId="0" xfId="0" applyAlignment="1" applyFont="1">
      <alignment horizontal="center" readingOrder="0"/>
    </xf>
    <xf borderId="0" fillId="5" fontId="7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8" fillId="19" fontId="23" numFmtId="0" xfId="0" applyAlignment="1" applyBorder="1" applyFill="1" applyFont="1">
      <alignment horizontal="center"/>
    </xf>
    <xf borderId="32" fillId="0" fontId="3" numFmtId="0" xfId="0" applyBorder="1" applyFont="1"/>
    <xf borderId="7" fillId="0" fontId="3" numFmtId="0" xfId="0" applyBorder="1" applyFont="1"/>
    <xf borderId="0" fillId="0" fontId="11" numFmtId="0" xfId="0" applyFont="1"/>
    <xf borderId="2" fillId="20" fontId="12" numFmtId="0" xfId="0" applyAlignment="1" applyBorder="1" applyFill="1" applyFont="1">
      <alignment horizontal="center"/>
    </xf>
    <xf borderId="2" fillId="21" fontId="11" numFmtId="0" xfId="0" applyAlignment="1" applyBorder="1" applyFill="1" applyFont="1">
      <alignment horizontal="center" vertical="bottom"/>
    </xf>
    <xf borderId="2" fillId="22" fontId="11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center" vertical="bottom"/>
    </xf>
    <xf borderId="0" fillId="0" fontId="24" numFmtId="0" xfId="0" applyAlignment="1" applyFont="1">
      <alignment vertical="top"/>
    </xf>
    <xf borderId="2" fillId="18" fontId="11" numFmtId="0" xfId="0" applyAlignment="1" applyBorder="1" applyFont="1">
      <alignment horizontal="center" vertical="bottom"/>
    </xf>
    <xf borderId="2" fillId="23" fontId="11" numFmtId="0" xfId="0" applyAlignment="1" applyBorder="1" applyFill="1" applyFont="1">
      <alignment horizontal="center" vertical="bottom"/>
    </xf>
    <xf borderId="0" fillId="0" fontId="11" numFmtId="0" xfId="0" applyAlignment="1" applyFont="1">
      <alignment vertical="top"/>
    </xf>
    <xf borderId="2" fillId="0" fontId="25" numFmtId="0" xfId="0" applyAlignment="1" applyBorder="1" applyFont="1">
      <alignment horizontal="center" vertical="bottom"/>
    </xf>
    <xf borderId="2" fillId="24" fontId="11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2" fillId="22" fontId="11" numFmtId="0" xfId="0" applyAlignment="1" applyBorder="1" applyFont="1">
      <alignment vertical="bottom"/>
    </xf>
    <xf borderId="8" fillId="0" fontId="11" numFmtId="0" xfId="0" applyAlignment="1" applyBorder="1" applyFont="1">
      <alignment horizontal="center" vertical="bottom"/>
    </xf>
    <xf borderId="2" fillId="7" fontId="11" numFmtId="0" xfId="0" applyAlignment="1" applyBorder="1" applyFont="1">
      <alignment horizontal="center" vertical="bottom"/>
    </xf>
    <xf borderId="7" fillId="22" fontId="11" numFmtId="0" xfId="0" applyAlignment="1" applyBorder="1" applyFont="1">
      <alignment horizontal="center" vertical="bottom"/>
    </xf>
    <xf borderId="0" fillId="0" fontId="24" numFmtId="0" xfId="0" applyAlignment="1" applyFont="1">
      <alignment horizontal="center" vertical="top"/>
    </xf>
    <xf borderId="8" fillId="22" fontId="11" numFmtId="0" xfId="0" applyAlignment="1" applyBorder="1" applyFont="1">
      <alignment vertical="bottom"/>
    </xf>
    <xf borderId="8" fillId="23" fontId="11" numFmtId="0" xfId="0" applyAlignment="1" applyBorder="1" applyFont="1">
      <alignment vertical="bottom"/>
    </xf>
    <xf borderId="8" fillId="7" fontId="11" numFmtId="0" xfId="0" applyAlignment="1" applyBorder="1" applyFont="1">
      <alignment vertical="bottom"/>
    </xf>
    <xf borderId="8" fillId="18" fontId="11" numFmtId="0" xfId="0" applyAlignment="1" applyBorder="1" applyFont="1">
      <alignment vertical="bottom"/>
    </xf>
    <xf borderId="8" fillId="25" fontId="11" numFmtId="0" xfId="0" applyAlignment="1" applyBorder="1" applyFill="1" applyFont="1">
      <alignment vertical="bottom"/>
    </xf>
    <xf borderId="18" fillId="24" fontId="11" numFmtId="0" xfId="0" applyAlignment="1" applyBorder="1" applyFont="1">
      <alignment shrinkToFit="0" wrapText="1"/>
    </xf>
    <xf borderId="13" fillId="0" fontId="3" numFmtId="0" xfId="0" applyBorder="1" applyFont="1"/>
    <xf borderId="21" fillId="0" fontId="3" numFmtId="0" xfId="0" applyBorder="1" applyFont="1"/>
    <xf borderId="8" fillId="0" fontId="26" numFmtId="0" xfId="0" applyAlignment="1" applyBorder="1" applyFont="1">
      <alignment vertical="bottom"/>
    </xf>
    <xf borderId="8" fillId="21" fontId="11" numFmtId="0" xfId="0" applyAlignment="1" applyBorder="1" applyFont="1">
      <alignment vertical="bottom"/>
    </xf>
    <xf borderId="2" fillId="25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vertical="bottom"/>
    </xf>
    <xf borderId="0" fillId="5" fontId="11" numFmtId="0" xfId="0" applyAlignment="1" applyFont="1">
      <alignment vertical="bottom"/>
    </xf>
    <xf borderId="0" fillId="5" fontId="24" numFmtId="0" xfId="0" applyAlignment="1" applyFont="1">
      <alignment horizontal="center" vertical="top"/>
    </xf>
    <xf borderId="0" fillId="5" fontId="11" numFmtId="0" xfId="0" applyAlignment="1" applyFont="1">
      <alignment vertical="top"/>
    </xf>
    <xf borderId="0" fillId="5" fontId="27" numFmtId="0" xfId="0" applyAlignment="1" applyFont="1">
      <alignment horizontal="center" vertical="top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152e6a66-623e-44f0-89d6-796b4f69df24}">
    <Anchor>
      <Comment id="{7e674d19-f9c9-4be0-aba3-c1ddbf19ff37}"/>
    </Anchor>
    <History>
      <Event time="2026-03-19T16:40:30.00" id="{dcbd0755-d9ce-42f8-a261-22ae1846c1f1}">
        <Attribution userId="placeholder@email.com" userName="Xavier Lara Moreno" userProvider="google-sheets"/>
        <Anchor>
          <Comment id="{7e674d19-f9c9-4be0-aba3-c1ddbf19ff37}"/>
        </Anchor>
        <Create/>
      </Event>
      <Event time="2026-03-19T16:40:30.00" id="{980ba32c-ba56-447d-bea2-9eed00cae6af}">
        <Attribution userId="placeholder@email.com" userName="Xavier Lara Moreno" userProvider="google-sheets"/>
        <Anchor>
          <Comment id="{7e674d19-f9c9-4be0-aba3-c1ddbf19ff37}"/>
        </Anchor>
        <Assign userId="juanmanuel.sanchez@iticbcn.cat" userName="juanmanuel.sanchez@iticbcn.cat" userProvider="google-sheets"/>
      </Event>
    </History>
  </Task>
  <Task id="{a6343473-17b2-4227-af57-c5391b1645a5}">
    <Anchor>
      <Comment id="{e29217a9-7881-46eb-ae16-ad89870b4ebe}"/>
    </Anchor>
    <History>
      <Event time="2026-03-19T16:39:55.00" id="{e3f11cf7-262c-44fc-8011-d798624748df}">
        <Attribution userId="placeholder@email.com" userName="Xavier Lara Moreno" userProvider="google-sheets"/>
        <Anchor>
          <Comment id="{e29217a9-7881-46eb-ae16-ad89870b4ebe}"/>
        </Anchor>
        <Create/>
      </Event>
      <Event time="2026-03-19T16:39:55.00" id="{b7438c0e-e6b3-4006-a7d8-86d2ac3d10ba}">
        <Attribution userId="placeholder@email.com" userName="Xavier Lara Moreno" userProvider="google-sheets"/>
        <Anchor>
          <Comment id="{e29217a9-7881-46eb-ae16-ad89870b4ebe}"/>
        </Anchor>
        <Assign userId="daniel.garcia@iticbcn.cat" userName="daniel.garcia@iticbcn.cat" userProvider="google-sheets"/>
      </Event>
    </History>
  </Task>
  <Task id="{b9684ed2-9a11-4a8e-bf20-701ab1ad683a}">
    <Anchor>
      <Comment id="{0c2e5ad8-071b-48d9-917b-be6b073106cb}"/>
    </Anchor>
    <History>
      <Event time="2026-03-19T16:40:52.00" id="{2000b922-d6c9-4f59-8257-5feb03047171}">
        <Attribution userId="placeholder@email.com" userName="Xavier Lara Moreno" userProvider="google-sheets"/>
        <Anchor>
          <Comment id="{0c2e5ad8-071b-48d9-917b-be6b073106cb}"/>
        </Anchor>
        <Create/>
      </Event>
      <Event time="2026-03-19T16:40:52.00" id="{270ad94e-8e3b-4aa8-a450-0ae99896c0eb}">
        <Attribution userId="placeholder@email.com" userName="Xavier Lara Moreno" userProvider="google-sheets"/>
        <Anchor>
          <Comment id="{0c2e5ad8-071b-48d9-917b-be6b073106cb}"/>
        </Anchor>
        <Assign userId="roger.sobrino@iticbcn.cat" userName="roger.sobrino@iticbcn.cat" userProvider="google-sheets"/>
      </Event>
    </History>
  </Task>
  <Task id="{ef634e11-7f26-466a-a52a-4820bb43a30a}">
    <Anchor>
      <Comment id="{25c28a43-f1f7-40cb-8c2f-b853ba010494}"/>
    </Anchor>
    <History>
      <Event time="2026-03-19T16:40:13.00" id="{0f9d6572-f0cd-473e-9ffb-b103b4eff5a6}">
        <Attribution userId="placeholder@email.com" userName="Xavier Lara Moreno" userProvider="google-sheets"/>
        <Anchor>
          <Comment id="{25c28a43-f1f7-40cb-8c2f-b853ba010494}"/>
        </Anchor>
        <Create/>
      </Event>
      <Event time="2026-03-19T16:40:13.00" id="{2d8722eb-8094-48b6-9f9e-d59ce95f188a}">
        <Attribution userId="placeholder@email.com" userName="Xavier Lara Moreno" userProvider="google-sheets"/>
        <Anchor>
          <Comment id="{25c28a43-f1f7-40cb-8c2f-b853ba010494}"/>
        </Anchor>
        <Assign userId="david.fernandez@iticbcn.cat" userName="david.fernandez@iticbcn.cat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el.garcia@iticbcn.cat" id="{81f60289-57e2-4005-a233-4623b5918c7f}" userId="daniel.garcia@iticbcn.cat" providerId="google-sheets"/>
  <x18tc:person displayName="david.fernandez@iticbcn.cat" id="{07b288f9-d22c-4b4c-812e-c2f568a2bba6}" userId="david.fernandez@iticbcn.cat" providerId="google-sheets"/>
  <x18tc:person displayName="roger.sobrino@iticbcn.cat" id="{c56e50d7-9198-48d3-935b-a619ff691a44}" userId="roger.sobrino@iticbcn.cat" providerId="google-sheets"/>
  <x18tc:person displayName="juanmanuel.sanchez@iticbcn.cat" id="{78cad07d-4514-4f4b-9285-dd908ed0389f}" userId="juanmanuel.sanchez@iticbcn.cat" providerId="google-sheets"/>
  <x18tc:person displayName="Xavier Lara Moreno" id="{422d6b3d-4f71-4791-8523-ab118db1940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2" dT="2026-03-19T16:40:30.00" personId="{422d6b3d-4f71-4791-8523-ab118db1940e}" id="{7e674d19-f9c9-4be0-aba3-c1ddbf19ff37}" done="0">
    <x18tc:text xml:space="preserve">@juanmanuel.sanchez@iticbcn.cat Que te parece este horario?
S’ha assignat a juanmanuel.sanchez@iticbcn.cat</x18tc:text>
    <x18tc:mentions>
      <x18tc:mention mentionpersonId="{78cad07d-4514-4f4b-9285-dd908ed0389f}" mentionId="{0cdee15b-8dd2-4bb7-87b8-5c0c1fe0e93f}" startIndex="0" length="31"/>
    </x18tc:mentions>
  </x18tc:threadedComment>
  <x18tc:threadedComment ref="A20" dT="2026-03-19T16:39:55.00" personId="{422d6b3d-4f71-4791-8523-ab118db1940e}" id="{e29217a9-7881-46eb-ae16-ad89870b4ebe}" done="0">
    <x18tc:text xml:space="preserve">@daniel.garcia@iticbcn.cat Que te parece este horario?
S’ha assignat a daniel.garcia@iticbcn.cat</x18tc:text>
    <x18tc:mentions>
      <x18tc:mention mentionpersonId="{81f60289-57e2-4005-a233-4623b5918c7f}" mentionId="{bdb29be9-c211-43fd-b6ac-975e7e3ebc5c}" startIndex="0" length="26"/>
    </x18tc:mentions>
  </x18tc:threadedComment>
  <x18tc:threadedComment ref="A47" dT="2026-03-19T16:40:52.00" personId="{422d6b3d-4f71-4791-8523-ab118db1940e}" id="{0c2e5ad8-071b-48d9-917b-be6b073106cb}" done="0">
    <x18tc:text xml:space="preserve">@roger.sobrino@iticbcn.cat Que te parece este horario?
S’ha assignat a roger.sobrino@iticbcn.cat</x18tc:text>
    <x18tc:mentions>
      <x18tc:mention mentionpersonId="{c56e50d7-9198-48d3-935b-a619ff691a44}" mentionId="{1ed73eb4-2059-4d73-b107-14af87125f49}" startIndex="0" length="26"/>
    </x18tc:mentions>
  </x18tc:threadedComment>
  <x18tc:threadedComment ref="A34" dT="2026-03-19T16:40:13.00" personId="{422d6b3d-4f71-4791-8523-ab118db1940e}" id="{25c28a43-f1f7-40cb-8c2f-b853ba010494}" done="0">
    <x18tc:text xml:space="preserve">@david.fernandez@iticbcn.cat Que te parece este horario?
S’ha assignat a david.fernandez@iticbcn.cat</x18tc:text>
    <x18tc:mentions>
      <x18tc:mention mentionpersonId="{07b288f9-d22c-4b4c-812e-c2f568a2bba6}" mentionId="{f939e441-462a-4bd6-bf11-aa46a4769033}" startIndex="0" length="28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maria.olivella@iticbcn.cat" TargetMode="External"/><Relationship Id="rId42" Type="http://schemas.openxmlformats.org/officeDocument/2006/relationships/hyperlink" Target="mailto:xavi.lara@iticbcn.cat" TargetMode="External"/><Relationship Id="rId41" Type="http://schemas.openxmlformats.org/officeDocument/2006/relationships/hyperlink" Target="mailto:xavi.lara@iticbcn.cat" TargetMode="External"/><Relationship Id="rId44" Type="http://schemas.openxmlformats.org/officeDocument/2006/relationships/hyperlink" Target="mailto:xavi.lara@iticbcn.cat" TargetMode="External"/><Relationship Id="rId43" Type="http://schemas.openxmlformats.org/officeDocument/2006/relationships/hyperlink" Target="mailto:maria.olivella@iticbcn.cat" TargetMode="External"/><Relationship Id="rId46" Type="http://schemas.openxmlformats.org/officeDocument/2006/relationships/hyperlink" Target="mailto:maria.olivella@iticbcn.cat" TargetMode="External"/><Relationship Id="rId45" Type="http://schemas.openxmlformats.org/officeDocument/2006/relationships/hyperlink" Target="mailto:xavi.lara@iticbcn.cat" TargetMode="External"/><Relationship Id="rId107" Type="http://schemas.openxmlformats.org/officeDocument/2006/relationships/hyperlink" Target="mailto:xavi.lara@iticbcn.cat" TargetMode="External"/><Relationship Id="rId106" Type="http://schemas.openxmlformats.org/officeDocument/2006/relationships/hyperlink" Target="mailto:maria.olivella@iticbcn.cat" TargetMode="External"/><Relationship Id="rId105" Type="http://schemas.openxmlformats.org/officeDocument/2006/relationships/hyperlink" Target="mailto:david.fernandez@iticbcn.cat" TargetMode="External"/><Relationship Id="rId104" Type="http://schemas.openxmlformats.org/officeDocument/2006/relationships/hyperlink" Target="mailto:xavi.lara@iticbcn.cat" TargetMode="External"/><Relationship Id="rId109" Type="http://schemas.openxmlformats.org/officeDocument/2006/relationships/hyperlink" Target="mailto:maria.olivella@iticbcn.cat" TargetMode="External"/><Relationship Id="rId108" Type="http://schemas.openxmlformats.org/officeDocument/2006/relationships/hyperlink" Target="mailto:david.fernandez@iticbcn.cat" TargetMode="External"/><Relationship Id="rId48" Type="http://schemas.openxmlformats.org/officeDocument/2006/relationships/hyperlink" Target="mailto:xavi.lara@iticbcn.cat" TargetMode="External"/><Relationship Id="rId47" Type="http://schemas.openxmlformats.org/officeDocument/2006/relationships/hyperlink" Target="mailto:xavi.lara@iticbcn.cat" TargetMode="External"/><Relationship Id="rId49" Type="http://schemas.openxmlformats.org/officeDocument/2006/relationships/hyperlink" Target="mailto:maria.olivella@iticbcn.cat" TargetMode="External"/><Relationship Id="rId103" Type="http://schemas.openxmlformats.org/officeDocument/2006/relationships/hyperlink" Target="mailto:maria.olivella@iticbcn.cat" TargetMode="External"/><Relationship Id="rId102" Type="http://schemas.openxmlformats.org/officeDocument/2006/relationships/hyperlink" Target="mailto:david.fernandez@iticbcn.cat" TargetMode="External"/><Relationship Id="rId101" Type="http://schemas.openxmlformats.org/officeDocument/2006/relationships/hyperlink" Target="mailto:xavi.lara@iticbcn.cat" TargetMode="External"/><Relationship Id="rId100" Type="http://schemas.openxmlformats.org/officeDocument/2006/relationships/hyperlink" Target="mailto:maria.olivella@iticbcn.cat" TargetMode="External"/><Relationship Id="rId31" Type="http://schemas.openxmlformats.org/officeDocument/2006/relationships/hyperlink" Target="mailto:maria.olivella@iticbcn.cat" TargetMode="External"/><Relationship Id="rId30" Type="http://schemas.openxmlformats.org/officeDocument/2006/relationships/hyperlink" Target="mailto:xavi.lara@iticbcn.cat" TargetMode="External"/><Relationship Id="rId33" Type="http://schemas.openxmlformats.org/officeDocument/2006/relationships/hyperlink" Target="mailto:xavi.lara@iticbcn.cat" TargetMode="External"/><Relationship Id="rId32" Type="http://schemas.openxmlformats.org/officeDocument/2006/relationships/hyperlink" Target="mailto:xavi.lara@iticbcn.cat" TargetMode="External"/><Relationship Id="rId35" Type="http://schemas.openxmlformats.org/officeDocument/2006/relationships/hyperlink" Target="mailto:xavi.lara@iticbcn.cat" TargetMode="External"/><Relationship Id="rId34" Type="http://schemas.openxmlformats.org/officeDocument/2006/relationships/hyperlink" Target="mailto:maria.olivella@iticbcn.cat" TargetMode="External"/><Relationship Id="rId37" Type="http://schemas.openxmlformats.org/officeDocument/2006/relationships/hyperlink" Target="mailto:maria.olivella@iticbcn.cat" TargetMode="External"/><Relationship Id="rId36" Type="http://schemas.openxmlformats.org/officeDocument/2006/relationships/hyperlink" Target="mailto:xavi.lara@iticbcn.cat" TargetMode="External"/><Relationship Id="rId39" Type="http://schemas.openxmlformats.org/officeDocument/2006/relationships/hyperlink" Target="mailto:xavi.lara@iticbcn.cat" TargetMode="External"/><Relationship Id="rId38" Type="http://schemas.openxmlformats.org/officeDocument/2006/relationships/hyperlink" Target="mailto:xavi.lara@iticbcn.cat" TargetMode="External"/><Relationship Id="rId20" Type="http://schemas.openxmlformats.org/officeDocument/2006/relationships/hyperlink" Target="mailto:xavi.lara@iticbcn.cat" TargetMode="External"/><Relationship Id="rId22" Type="http://schemas.openxmlformats.org/officeDocument/2006/relationships/hyperlink" Target="mailto:maria.olivella@iticbcn.cat" TargetMode="External"/><Relationship Id="rId21" Type="http://schemas.openxmlformats.org/officeDocument/2006/relationships/hyperlink" Target="mailto:xavi.lara@iticbcn.cat" TargetMode="External"/><Relationship Id="rId24" Type="http://schemas.openxmlformats.org/officeDocument/2006/relationships/hyperlink" Target="mailto:xavi.lara@iticbcn.cat" TargetMode="External"/><Relationship Id="rId23" Type="http://schemas.openxmlformats.org/officeDocument/2006/relationships/hyperlink" Target="mailto:xavi.lara@iticbcn.cat" TargetMode="External"/><Relationship Id="rId129" Type="http://schemas.openxmlformats.org/officeDocument/2006/relationships/hyperlink" Target="mailto:juanmanuel.sanchez@iticbcn.cat" TargetMode="External"/><Relationship Id="rId128" Type="http://schemas.openxmlformats.org/officeDocument/2006/relationships/hyperlink" Target="mailto:xavi.lara@iticbcn.cat" TargetMode="External"/><Relationship Id="rId127" Type="http://schemas.openxmlformats.org/officeDocument/2006/relationships/hyperlink" Target="mailto:maria.olivella@iticbcn.cat" TargetMode="External"/><Relationship Id="rId126" Type="http://schemas.openxmlformats.org/officeDocument/2006/relationships/hyperlink" Target="mailto:juanmanuel.sanchez@iticbcn.cat" TargetMode="External"/><Relationship Id="rId26" Type="http://schemas.openxmlformats.org/officeDocument/2006/relationships/hyperlink" Target="mailto:toni.talens@iticbcn.cat" TargetMode="External"/><Relationship Id="rId121" Type="http://schemas.openxmlformats.org/officeDocument/2006/relationships/hyperlink" Target="mailto:maria.olivella@iticbcn.cat" TargetMode="External"/><Relationship Id="rId25" Type="http://schemas.openxmlformats.org/officeDocument/2006/relationships/hyperlink" Target="mailto:maria.olivella@iticbcn.cat" TargetMode="External"/><Relationship Id="rId120" Type="http://schemas.openxmlformats.org/officeDocument/2006/relationships/hyperlink" Target="mailto:david.fernandez@iticbcn.cat" TargetMode="External"/><Relationship Id="rId28" Type="http://schemas.openxmlformats.org/officeDocument/2006/relationships/hyperlink" Target="mailto:maria.olivella@iticbcn.cat" TargetMode="External"/><Relationship Id="rId27" Type="http://schemas.openxmlformats.org/officeDocument/2006/relationships/hyperlink" Target="mailto:xavi.lara@iticbcn.cat" TargetMode="External"/><Relationship Id="rId125" Type="http://schemas.openxmlformats.org/officeDocument/2006/relationships/hyperlink" Target="mailto:xavi.lara@iticbcn.cat" TargetMode="External"/><Relationship Id="rId29" Type="http://schemas.openxmlformats.org/officeDocument/2006/relationships/hyperlink" Target="mailto:xavi.lara@iticbcn.cat" TargetMode="External"/><Relationship Id="rId124" Type="http://schemas.openxmlformats.org/officeDocument/2006/relationships/hyperlink" Target="mailto:maria.olivella@iticbcn.cat" TargetMode="External"/><Relationship Id="rId123" Type="http://schemas.openxmlformats.org/officeDocument/2006/relationships/hyperlink" Target="mailto:juanmanuel.sanchez@iticbcn.cat" TargetMode="External"/><Relationship Id="rId122" Type="http://schemas.openxmlformats.org/officeDocument/2006/relationships/hyperlink" Target="mailto:xavi.lara@iticbcn.cat" TargetMode="External"/><Relationship Id="rId95" Type="http://schemas.openxmlformats.org/officeDocument/2006/relationships/hyperlink" Target="mailto:xavi.lara@iticbcn.cat" TargetMode="External"/><Relationship Id="rId94" Type="http://schemas.openxmlformats.org/officeDocument/2006/relationships/hyperlink" Target="mailto:maria.olivella@iticbcn.cat" TargetMode="External"/><Relationship Id="rId97" Type="http://schemas.openxmlformats.org/officeDocument/2006/relationships/hyperlink" Target="mailto:maria.olivella@iticbcn.cat" TargetMode="External"/><Relationship Id="rId96" Type="http://schemas.openxmlformats.org/officeDocument/2006/relationships/hyperlink" Target="mailto:daniel.garcia@iticbcn.cat" TargetMode="External"/><Relationship Id="rId11" Type="http://schemas.openxmlformats.org/officeDocument/2006/relationships/hyperlink" Target="mailto:xavi.lara@iticbcn.cat" TargetMode="External"/><Relationship Id="rId99" Type="http://schemas.openxmlformats.org/officeDocument/2006/relationships/hyperlink" Target="mailto:david.fernandez@iticbcn.cat" TargetMode="External"/><Relationship Id="rId10" Type="http://schemas.openxmlformats.org/officeDocument/2006/relationships/hyperlink" Target="mailto:maria.olivella@iticbcn.cat" TargetMode="External"/><Relationship Id="rId98" Type="http://schemas.openxmlformats.org/officeDocument/2006/relationships/hyperlink" Target="mailto:xavi.lara@iticbcn.cat" TargetMode="External"/><Relationship Id="rId13" Type="http://schemas.openxmlformats.org/officeDocument/2006/relationships/hyperlink" Target="mailto:maria.olivella@iticbcn.cat" TargetMode="External"/><Relationship Id="rId12" Type="http://schemas.openxmlformats.org/officeDocument/2006/relationships/hyperlink" Target="mailto:xavi.lara@iticbcn.cat" TargetMode="External"/><Relationship Id="rId91" Type="http://schemas.openxmlformats.org/officeDocument/2006/relationships/hyperlink" Target="mailto:maria.olivella@iticbcn.cat" TargetMode="External"/><Relationship Id="rId90" Type="http://schemas.openxmlformats.org/officeDocument/2006/relationships/hyperlink" Target="mailto:daniel.garcia@iticbcn.cat" TargetMode="External"/><Relationship Id="rId93" Type="http://schemas.openxmlformats.org/officeDocument/2006/relationships/hyperlink" Target="mailto:daniel.garcia@iticbcn.cat" TargetMode="External"/><Relationship Id="rId92" Type="http://schemas.openxmlformats.org/officeDocument/2006/relationships/hyperlink" Target="mailto:xavi.lara@iticbcn.cat" TargetMode="External"/><Relationship Id="rId118" Type="http://schemas.openxmlformats.org/officeDocument/2006/relationships/hyperlink" Target="mailto:maria.olivella@iticbcn.cat" TargetMode="External"/><Relationship Id="rId117" Type="http://schemas.openxmlformats.org/officeDocument/2006/relationships/hyperlink" Target="mailto:david.fernandez@iticbcn.cat" TargetMode="External"/><Relationship Id="rId116" Type="http://schemas.openxmlformats.org/officeDocument/2006/relationships/hyperlink" Target="mailto:xavi.lara@iticbcn.cat" TargetMode="External"/><Relationship Id="rId115" Type="http://schemas.openxmlformats.org/officeDocument/2006/relationships/hyperlink" Target="mailto:maria.olivella@iticbcn.cat" TargetMode="External"/><Relationship Id="rId119" Type="http://schemas.openxmlformats.org/officeDocument/2006/relationships/hyperlink" Target="mailto:xavi.lara@iticbcn.cat" TargetMode="External"/><Relationship Id="rId15" Type="http://schemas.openxmlformats.org/officeDocument/2006/relationships/hyperlink" Target="mailto:xavi.lara@iticbcn.cat" TargetMode="External"/><Relationship Id="rId110" Type="http://schemas.openxmlformats.org/officeDocument/2006/relationships/hyperlink" Target="mailto:xavi.lara@iticbcn.cat" TargetMode="External"/><Relationship Id="rId14" Type="http://schemas.openxmlformats.org/officeDocument/2006/relationships/hyperlink" Target="mailto:xavi.lara@iticbcn.cat" TargetMode="External"/><Relationship Id="rId17" Type="http://schemas.openxmlformats.org/officeDocument/2006/relationships/hyperlink" Target="mailto:xavi.lara@iticbcn.cat" TargetMode="External"/><Relationship Id="rId16" Type="http://schemas.openxmlformats.org/officeDocument/2006/relationships/hyperlink" Target="mailto:maria.olivella@iticbcn.cat" TargetMode="External"/><Relationship Id="rId19" Type="http://schemas.openxmlformats.org/officeDocument/2006/relationships/hyperlink" Target="mailto:maria.olivella@iticbcn.cat" TargetMode="External"/><Relationship Id="rId114" Type="http://schemas.openxmlformats.org/officeDocument/2006/relationships/hyperlink" Target="mailto:david.fernandez@iticbcn.cat" TargetMode="External"/><Relationship Id="rId18" Type="http://schemas.openxmlformats.org/officeDocument/2006/relationships/hyperlink" Target="mailto:xavi.lara@iticbcn.cat" TargetMode="External"/><Relationship Id="rId113" Type="http://schemas.openxmlformats.org/officeDocument/2006/relationships/hyperlink" Target="mailto:xavi.lara@iticbcn.cat" TargetMode="External"/><Relationship Id="rId112" Type="http://schemas.openxmlformats.org/officeDocument/2006/relationships/hyperlink" Target="mailto:maria.olivella@iticbcn.cat" TargetMode="External"/><Relationship Id="rId111" Type="http://schemas.openxmlformats.org/officeDocument/2006/relationships/hyperlink" Target="mailto:david.fernandez@iticbcn.cat" TargetMode="External"/><Relationship Id="rId84" Type="http://schemas.openxmlformats.org/officeDocument/2006/relationships/hyperlink" Target="mailto:daniel.garcia@iticbcn.cat" TargetMode="External"/><Relationship Id="rId83" Type="http://schemas.openxmlformats.org/officeDocument/2006/relationships/hyperlink" Target="mailto:xavi.lara@iticbcn.cat" TargetMode="External"/><Relationship Id="rId86" Type="http://schemas.openxmlformats.org/officeDocument/2006/relationships/hyperlink" Target="mailto:xavi.lara@iticbcn.cat" TargetMode="External"/><Relationship Id="rId85" Type="http://schemas.openxmlformats.org/officeDocument/2006/relationships/hyperlink" Target="mailto:maria.olivella@iticbcn.cat" TargetMode="External"/><Relationship Id="rId88" Type="http://schemas.openxmlformats.org/officeDocument/2006/relationships/hyperlink" Target="mailto:maria.olivella@iticbcn.cat" TargetMode="External"/><Relationship Id="rId150" Type="http://schemas.openxmlformats.org/officeDocument/2006/relationships/hyperlink" Target="mailto:toni.talens@iticbcn.cat" TargetMode="External"/><Relationship Id="rId87" Type="http://schemas.openxmlformats.org/officeDocument/2006/relationships/hyperlink" Target="mailto:daniel.garcia@iticbcn.cat" TargetMode="External"/><Relationship Id="rId89" Type="http://schemas.openxmlformats.org/officeDocument/2006/relationships/hyperlink" Target="mailto:xavi.lara@iticbcn.cat" TargetMode="External"/><Relationship Id="rId80" Type="http://schemas.openxmlformats.org/officeDocument/2006/relationships/hyperlink" Target="mailto:xavi.lara@iticbcn.cat" TargetMode="External"/><Relationship Id="rId82" Type="http://schemas.openxmlformats.org/officeDocument/2006/relationships/hyperlink" Target="mailto:maria.olivella@iticbcn.cat" TargetMode="External"/><Relationship Id="rId81" Type="http://schemas.openxmlformats.org/officeDocument/2006/relationships/hyperlink" Target="mailto:daniel.garcia@iticbcn.cat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mailto:toni.talens@iticbcn.cat" TargetMode="External"/><Relationship Id="rId4" Type="http://schemas.openxmlformats.org/officeDocument/2006/relationships/hyperlink" Target="mailto:maria.olivella@iticbcn.cat" TargetMode="External"/><Relationship Id="rId148" Type="http://schemas.openxmlformats.org/officeDocument/2006/relationships/hyperlink" Target="mailto:maria.olivella@iticbcn.cat" TargetMode="External"/><Relationship Id="rId9" Type="http://schemas.openxmlformats.org/officeDocument/2006/relationships/hyperlink" Target="mailto:xavi.lara@iticbcn.cat" TargetMode="External"/><Relationship Id="rId143" Type="http://schemas.openxmlformats.org/officeDocument/2006/relationships/hyperlink" Target="mailto:xavi.lara@iticbcn.cat" TargetMode="External"/><Relationship Id="rId142" Type="http://schemas.openxmlformats.org/officeDocument/2006/relationships/hyperlink" Target="mailto:maria.olivella@iticbcn.cat" TargetMode="External"/><Relationship Id="rId141" Type="http://schemas.openxmlformats.org/officeDocument/2006/relationships/hyperlink" Target="mailto:roger.sobrino@iticbcn.cat" TargetMode="External"/><Relationship Id="rId140" Type="http://schemas.openxmlformats.org/officeDocument/2006/relationships/hyperlink" Target="mailto:xavi.lara@iticbcn.cat" TargetMode="External"/><Relationship Id="rId5" Type="http://schemas.openxmlformats.org/officeDocument/2006/relationships/hyperlink" Target="mailto:toni.talens@iticbcn.cat" TargetMode="External"/><Relationship Id="rId147" Type="http://schemas.openxmlformats.org/officeDocument/2006/relationships/hyperlink" Target="mailto:roger.sobrino@iticbcn.cat" TargetMode="External"/><Relationship Id="rId6" Type="http://schemas.openxmlformats.org/officeDocument/2006/relationships/hyperlink" Target="mailto:david.fernandez@iticbcn.cat" TargetMode="External"/><Relationship Id="rId146" Type="http://schemas.openxmlformats.org/officeDocument/2006/relationships/hyperlink" Target="mailto:xavi.lara@iticbcn.cat" TargetMode="External"/><Relationship Id="rId7" Type="http://schemas.openxmlformats.org/officeDocument/2006/relationships/hyperlink" Target="mailto:maria.olivella@iticbcn.cat" TargetMode="External"/><Relationship Id="rId145" Type="http://schemas.openxmlformats.org/officeDocument/2006/relationships/hyperlink" Target="mailto:maria.olivella@iticbcn.cat" TargetMode="External"/><Relationship Id="rId8" Type="http://schemas.openxmlformats.org/officeDocument/2006/relationships/hyperlink" Target="mailto:toni.talens@iticbcn.cat" TargetMode="External"/><Relationship Id="rId144" Type="http://schemas.openxmlformats.org/officeDocument/2006/relationships/hyperlink" Target="mailto:roger.sobrino@iticbcn.cat" TargetMode="External"/><Relationship Id="rId73" Type="http://schemas.openxmlformats.org/officeDocument/2006/relationships/hyperlink" Target="mailto:maria.olivella@iticbcn.cat" TargetMode="External"/><Relationship Id="rId72" Type="http://schemas.openxmlformats.org/officeDocument/2006/relationships/hyperlink" Target="mailto:daniel.garcia@iticbcn.cat" TargetMode="External"/><Relationship Id="rId75" Type="http://schemas.openxmlformats.org/officeDocument/2006/relationships/hyperlink" Target="mailto:daniel.garcia@iticbcn.cat" TargetMode="External"/><Relationship Id="rId74" Type="http://schemas.openxmlformats.org/officeDocument/2006/relationships/hyperlink" Target="mailto:xavi.lara@iticbcn.cat" TargetMode="External"/><Relationship Id="rId77" Type="http://schemas.openxmlformats.org/officeDocument/2006/relationships/hyperlink" Target="mailto:xavi.lara@iticbcn.cat" TargetMode="External"/><Relationship Id="rId76" Type="http://schemas.openxmlformats.org/officeDocument/2006/relationships/hyperlink" Target="mailto:maria.olivella@iticbcn.cat" TargetMode="External"/><Relationship Id="rId79" Type="http://schemas.openxmlformats.org/officeDocument/2006/relationships/hyperlink" Target="mailto:maria.olivella@iticbcn.cat" TargetMode="External"/><Relationship Id="rId78" Type="http://schemas.openxmlformats.org/officeDocument/2006/relationships/hyperlink" Target="mailto:daniel.garcia@iticbcn.cat" TargetMode="External"/><Relationship Id="rId71" Type="http://schemas.openxmlformats.org/officeDocument/2006/relationships/hyperlink" Target="mailto:xavi.lara@iticbcn.cat" TargetMode="External"/><Relationship Id="rId70" Type="http://schemas.openxmlformats.org/officeDocument/2006/relationships/hyperlink" Target="mailto:maria.olivella@iticbcn.cat" TargetMode="External"/><Relationship Id="rId139" Type="http://schemas.openxmlformats.org/officeDocument/2006/relationships/hyperlink" Target="mailto:maria.olivella@iticbcn.cat" TargetMode="External"/><Relationship Id="rId138" Type="http://schemas.openxmlformats.org/officeDocument/2006/relationships/hyperlink" Target="mailto:roger.sobrino@iticbcn.cat" TargetMode="External"/><Relationship Id="rId137" Type="http://schemas.openxmlformats.org/officeDocument/2006/relationships/hyperlink" Target="mailto:xavi.lara@iticbcn.cat" TargetMode="External"/><Relationship Id="rId132" Type="http://schemas.openxmlformats.org/officeDocument/2006/relationships/hyperlink" Target="mailto:juanmanuel.sanchez@iticbcn.cat" TargetMode="External"/><Relationship Id="rId131" Type="http://schemas.openxmlformats.org/officeDocument/2006/relationships/hyperlink" Target="mailto:xavi.lara@iticbcn.cat" TargetMode="External"/><Relationship Id="rId130" Type="http://schemas.openxmlformats.org/officeDocument/2006/relationships/hyperlink" Target="mailto:maria.olivella@iticbcn.cat" TargetMode="External"/><Relationship Id="rId136" Type="http://schemas.openxmlformats.org/officeDocument/2006/relationships/hyperlink" Target="mailto:maria.olivella@iticbcn.cat" TargetMode="External"/><Relationship Id="rId135" Type="http://schemas.openxmlformats.org/officeDocument/2006/relationships/hyperlink" Target="mailto:juanmanuel.sanchez@iticbcn.cat" TargetMode="External"/><Relationship Id="rId134" Type="http://schemas.openxmlformats.org/officeDocument/2006/relationships/hyperlink" Target="mailto:xavi.lara@iticbcn.cat" TargetMode="External"/><Relationship Id="rId133" Type="http://schemas.openxmlformats.org/officeDocument/2006/relationships/hyperlink" Target="mailto:maria.olivella@iticbcn.cat" TargetMode="External"/><Relationship Id="rId62" Type="http://schemas.openxmlformats.org/officeDocument/2006/relationships/hyperlink" Target="mailto:xavi.lara@iticbcn.cat" TargetMode="External"/><Relationship Id="rId61" Type="http://schemas.openxmlformats.org/officeDocument/2006/relationships/hyperlink" Target="mailto:maria.olivella@iticbcn.cat" TargetMode="External"/><Relationship Id="rId64" Type="http://schemas.openxmlformats.org/officeDocument/2006/relationships/hyperlink" Target="mailto:maria.olivella@iticbcn.cat" TargetMode="External"/><Relationship Id="rId63" Type="http://schemas.openxmlformats.org/officeDocument/2006/relationships/hyperlink" Target="mailto:daniel.garcia@iticbcn.cat" TargetMode="External"/><Relationship Id="rId66" Type="http://schemas.openxmlformats.org/officeDocument/2006/relationships/hyperlink" Target="mailto:daniel.garcia@iticbcn.cat" TargetMode="External"/><Relationship Id="rId65" Type="http://schemas.openxmlformats.org/officeDocument/2006/relationships/hyperlink" Target="mailto:xavi.lara@iticbcn.cat" TargetMode="External"/><Relationship Id="rId68" Type="http://schemas.openxmlformats.org/officeDocument/2006/relationships/hyperlink" Target="mailto:xavi.lara@iticbcn.cat" TargetMode="External"/><Relationship Id="rId67" Type="http://schemas.openxmlformats.org/officeDocument/2006/relationships/hyperlink" Target="mailto:maria.olivella@iticbcn.cat" TargetMode="External"/><Relationship Id="rId60" Type="http://schemas.openxmlformats.org/officeDocument/2006/relationships/hyperlink" Target="mailto:daniel.garcia@iticbcn.cat" TargetMode="External"/><Relationship Id="rId69" Type="http://schemas.openxmlformats.org/officeDocument/2006/relationships/hyperlink" Target="mailto:daniel.garcia@iticbcn.cat" TargetMode="External"/><Relationship Id="rId51" Type="http://schemas.openxmlformats.org/officeDocument/2006/relationships/hyperlink" Target="mailto:xavi.lara@iticbcn.cat" TargetMode="External"/><Relationship Id="rId50" Type="http://schemas.openxmlformats.org/officeDocument/2006/relationships/hyperlink" Target="mailto:xavi.lara@iticbcn.cat" TargetMode="External"/><Relationship Id="rId53" Type="http://schemas.openxmlformats.org/officeDocument/2006/relationships/hyperlink" Target="mailto:xavi.lara@iticbcn.cat" TargetMode="External"/><Relationship Id="rId52" Type="http://schemas.openxmlformats.org/officeDocument/2006/relationships/hyperlink" Target="mailto:maria.olivella@iticbcn.cat" TargetMode="External"/><Relationship Id="rId55" Type="http://schemas.openxmlformats.org/officeDocument/2006/relationships/hyperlink" Target="mailto:maria.olivella@iticbcn.cat" TargetMode="External"/><Relationship Id="rId54" Type="http://schemas.openxmlformats.org/officeDocument/2006/relationships/hyperlink" Target="mailto:xavi.lara@iticbcn.cat" TargetMode="External"/><Relationship Id="rId57" Type="http://schemas.openxmlformats.org/officeDocument/2006/relationships/hyperlink" Target="mailto:daniel.garcia@iticbcn.cat" TargetMode="External"/><Relationship Id="rId56" Type="http://schemas.openxmlformats.org/officeDocument/2006/relationships/hyperlink" Target="mailto:toni.talens@iticbcn.cat" TargetMode="External"/><Relationship Id="rId59" Type="http://schemas.openxmlformats.org/officeDocument/2006/relationships/hyperlink" Target="mailto:xavi.lara@iticbcn.cat" TargetMode="External"/><Relationship Id="rId58" Type="http://schemas.openxmlformats.org/officeDocument/2006/relationships/hyperlink" Target="mailto:maria.olivella@iticbcn.cat" TargetMode="External"/><Relationship Id="rId152" Type="http://schemas.openxmlformats.org/officeDocument/2006/relationships/vmlDrawing" Target="../drawings/vmlDrawing3.vml"/><Relationship Id="rId15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2" width="30.5"/>
    <col customWidth="1" min="3" max="4" width="14.88"/>
    <col customWidth="1" min="5" max="5" width="16.75"/>
    <col customWidth="1" min="6" max="7" width="14.88"/>
    <col customWidth="1" min="8" max="8" width="8.75"/>
    <col customWidth="1" min="9" max="9" width="12.63"/>
    <col customWidth="1" min="10" max="10" width="13.88"/>
    <col customWidth="1" min="11" max="11" width="14.75"/>
    <col customWidth="1" min="12" max="12" width="14.63"/>
    <col customWidth="1" min="13" max="13" width="25.75"/>
    <col customWidth="1" min="14" max="18" width="14.88"/>
    <col customWidth="1" min="19" max="24" width="12.63"/>
  </cols>
  <sheetData>
    <row r="1" ht="15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ht="15.75" customHeight="1">
      <c r="B2" s="3"/>
      <c r="C2" s="4">
        <v>0.4</v>
      </c>
      <c r="D2" s="5">
        <v>0.3</v>
      </c>
      <c r="E2" s="4">
        <v>0.3</v>
      </c>
      <c r="F2" s="6">
        <v>1.0</v>
      </c>
      <c r="G2" s="2" t="s">
        <v>12</v>
      </c>
      <c r="I2" s="3"/>
      <c r="J2" s="3"/>
      <c r="K2" s="3"/>
      <c r="L2" s="3"/>
      <c r="M2" s="3"/>
      <c r="N2" s="3"/>
    </row>
    <row r="3" ht="15.75" customHeight="1">
      <c r="A3" s="7" t="s">
        <v>13</v>
      </c>
      <c r="B3" s="8" t="s">
        <v>14</v>
      </c>
      <c r="C3" s="9"/>
      <c r="D3" s="10"/>
      <c r="E3" s="10">
        <f>'ITICBCN avaluació documentació '!R15</f>
        <v>0</v>
      </c>
      <c r="F3" s="10">
        <f t="shared" ref="F3:F5" si="1">IF((AND($C3&gt;=5,$D3&gt;=5,$E3&gt;=5)),C3*$C$2+D3*$D$2+E3*$E$2,0)</f>
        <v>0</v>
      </c>
      <c r="G3" s="10">
        <f t="shared" ref="G3:G5" si="2">ROUND(F3,0)</f>
        <v>0</v>
      </c>
      <c r="I3" s="11" t="s">
        <v>15</v>
      </c>
      <c r="J3" s="12">
        <v>45756.0</v>
      </c>
      <c r="K3" s="12">
        <v>46115.0</v>
      </c>
      <c r="L3" s="13" t="s">
        <v>16</v>
      </c>
      <c r="M3" s="14"/>
      <c r="N3" s="15" t="s">
        <v>17</v>
      </c>
      <c r="O3" s="16"/>
      <c r="P3" s="16"/>
      <c r="Q3" s="16"/>
      <c r="R3" s="16"/>
      <c r="S3" s="16"/>
      <c r="T3" s="16"/>
      <c r="U3" s="16"/>
      <c r="V3" s="16"/>
      <c r="W3" s="16"/>
      <c r="X3" s="16"/>
    </row>
    <row r="4" ht="15.75" customHeight="1">
      <c r="B4" s="17" t="s">
        <v>18</v>
      </c>
      <c r="C4" s="18"/>
      <c r="D4" s="19"/>
      <c r="E4" s="19">
        <f>'ITICBCN avaluació documentació '!S15</f>
        <v>0</v>
      </c>
      <c r="F4" s="19">
        <f t="shared" si="1"/>
        <v>0</v>
      </c>
      <c r="G4" s="19">
        <f t="shared" si="2"/>
        <v>0</v>
      </c>
      <c r="I4" s="20" t="s">
        <v>19</v>
      </c>
      <c r="J4" s="12">
        <v>45782.0</v>
      </c>
      <c r="K4" s="12">
        <v>46080.0</v>
      </c>
      <c r="L4" s="21" t="s">
        <v>20</v>
      </c>
      <c r="M4" s="21"/>
      <c r="N4" s="15" t="s">
        <v>17</v>
      </c>
    </row>
    <row r="5" ht="15.75" customHeight="1">
      <c r="B5" s="17" t="s">
        <v>21</v>
      </c>
      <c r="C5" s="18">
        <v>10.0</v>
      </c>
      <c r="D5" s="18">
        <v>3.93</v>
      </c>
      <c r="E5" s="18">
        <v>2.5</v>
      </c>
      <c r="F5" s="19">
        <f t="shared" si="1"/>
        <v>0</v>
      </c>
      <c r="G5" s="19">
        <f t="shared" si="2"/>
        <v>0</v>
      </c>
      <c r="I5" s="21" t="s">
        <v>22</v>
      </c>
      <c r="J5" s="22">
        <v>45677.0</v>
      </c>
      <c r="K5" s="12">
        <v>45930.0</v>
      </c>
      <c r="L5" s="21" t="s">
        <v>20</v>
      </c>
      <c r="M5" s="20"/>
      <c r="N5" s="15" t="s">
        <v>23</v>
      </c>
    </row>
    <row r="6" ht="15.75" customHeight="1">
      <c r="A6" s="23"/>
      <c r="B6" s="24"/>
      <c r="C6" s="25"/>
      <c r="D6" s="26"/>
      <c r="E6" s="26"/>
      <c r="F6" s="26"/>
      <c r="G6" s="26"/>
      <c r="H6" s="27"/>
      <c r="I6" s="28"/>
      <c r="J6" s="28"/>
      <c r="K6" s="28"/>
      <c r="L6" s="28"/>
      <c r="M6" s="28"/>
    </row>
    <row r="7" ht="15.75" customHeight="1">
      <c r="A7" s="7" t="s">
        <v>24</v>
      </c>
      <c r="B7" s="29" t="s">
        <v>25</v>
      </c>
      <c r="C7" s="9"/>
      <c r="D7" s="10"/>
      <c r="E7" s="10">
        <f>'ITICBCN avaluació documentació '!V15</f>
        <v>0</v>
      </c>
      <c r="F7" s="10">
        <f t="shared" ref="F7:F8" si="3">IF((AND($C7&gt;=5,$D7&gt;=5,$E7&gt;=5)),C7*$C$2+D7*$D$2+E7*$E$2,0)</f>
        <v>0</v>
      </c>
      <c r="G7" s="10">
        <f t="shared" ref="G7:G8" si="4">ROUND(F7,0)</f>
        <v>0</v>
      </c>
      <c r="I7" s="21" t="s">
        <v>26</v>
      </c>
      <c r="J7" s="30">
        <v>45845.0</v>
      </c>
      <c r="K7" s="30">
        <v>46101.0</v>
      </c>
      <c r="L7" s="13" t="s">
        <v>27</v>
      </c>
      <c r="M7" s="14"/>
      <c r="N7" s="15" t="s">
        <v>17</v>
      </c>
    </row>
    <row r="8" ht="15.75" customHeight="1">
      <c r="B8" s="31" t="s">
        <v>28</v>
      </c>
      <c r="C8" s="18">
        <v>10.0</v>
      </c>
      <c r="D8" s="18">
        <v>10.0</v>
      </c>
      <c r="E8" s="18">
        <v>10.0</v>
      </c>
      <c r="F8" s="19">
        <f t="shared" si="3"/>
        <v>10</v>
      </c>
      <c r="G8" s="19">
        <f t="shared" si="4"/>
        <v>10</v>
      </c>
      <c r="I8" s="21" t="s">
        <v>29</v>
      </c>
      <c r="J8" s="12">
        <v>45769.0</v>
      </c>
      <c r="K8" s="32">
        <v>45991.0</v>
      </c>
      <c r="L8" s="21" t="s">
        <v>30</v>
      </c>
      <c r="M8" s="21"/>
      <c r="N8" s="15" t="s">
        <v>23</v>
      </c>
    </row>
    <row r="9" ht="15.75" customHeight="1">
      <c r="B9" s="33"/>
      <c r="C9" s="18"/>
      <c r="D9" s="18"/>
      <c r="E9" s="18"/>
      <c r="F9" s="18">
        <v>6.45</v>
      </c>
      <c r="G9" s="18">
        <v>6.0</v>
      </c>
      <c r="I9" s="20"/>
      <c r="J9" s="20"/>
      <c r="K9" s="20"/>
      <c r="L9" s="20"/>
      <c r="M9" s="20"/>
    </row>
    <row r="10" ht="15.75" customHeight="1">
      <c r="A10" s="23"/>
      <c r="B10" s="34"/>
      <c r="C10" s="25"/>
      <c r="D10" s="26"/>
      <c r="E10" s="26">
        <f>'ITICBCN avaluació documentació '!Y15</f>
        <v>0</v>
      </c>
      <c r="F10" s="26">
        <f t="shared" ref="F10:F38" si="5">IF((AND($C10&gt;=5,$D10&gt;=5,$E10&gt;=5)),C10*$C$2+D10*$D$2+E10*$E$2,0)</f>
        <v>0</v>
      </c>
      <c r="G10" s="26">
        <f t="shared" ref="G10:G38" si="6">ROUND(F10,0)</f>
        <v>0</v>
      </c>
      <c r="H10" s="27"/>
      <c r="I10" s="28"/>
      <c r="J10" s="28"/>
      <c r="K10" s="28"/>
      <c r="L10" s="28"/>
      <c r="M10" s="28"/>
    </row>
    <row r="11" ht="15.75" customHeight="1">
      <c r="A11" s="7"/>
      <c r="B11" s="8"/>
      <c r="C11" s="9"/>
      <c r="D11" s="10"/>
      <c r="E11" s="9">
        <v>5.0</v>
      </c>
      <c r="F11" s="19">
        <f t="shared" si="5"/>
        <v>0</v>
      </c>
      <c r="G11" s="19">
        <f t="shared" si="6"/>
        <v>0</v>
      </c>
      <c r="I11" s="14"/>
      <c r="J11" s="14"/>
      <c r="K11" s="14"/>
      <c r="L11" s="14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5.75" customHeight="1">
      <c r="B12" s="8"/>
      <c r="C12" s="9"/>
      <c r="D12" s="10"/>
      <c r="E12" s="10">
        <f>'ITICBCN avaluació documentació '!AA15</f>
        <v>0</v>
      </c>
      <c r="F12" s="19">
        <f t="shared" si="5"/>
        <v>0</v>
      </c>
      <c r="G12" s="19">
        <f t="shared" si="6"/>
        <v>0</v>
      </c>
      <c r="I12" s="13"/>
      <c r="J12" s="13"/>
      <c r="K12" s="13"/>
      <c r="L12" s="13"/>
      <c r="M12" s="13"/>
    </row>
    <row r="13" ht="15.75" customHeight="1">
      <c r="B13" s="33"/>
      <c r="C13" s="18"/>
      <c r="D13" s="19"/>
      <c r="E13" s="19">
        <f>'ITICBCN avaluació documentació '!AB15</f>
        <v>0</v>
      </c>
      <c r="F13" s="19">
        <f t="shared" si="5"/>
        <v>0</v>
      </c>
      <c r="G13" s="19">
        <f t="shared" si="6"/>
        <v>0</v>
      </c>
      <c r="I13" s="21"/>
      <c r="J13" s="21"/>
      <c r="K13" s="21"/>
      <c r="L13" s="21"/>
      <c r="M13" s="21"/>
    </row>
    <row r="14" ht="15.75" customHeight="1">
      <c r="B14" s="33"/>
      <c r="C14" s="18"/>
      <c r="D14" s="19"/>
      <c r="E14" s="19">
        <f>'ITICBCN avaluació documentació '!AC15</f>
        <v>0</v>
      </c>
      <c r="F14" s="19">
        <f t="shared" si="5"/>
        <v>0</v>
      </c>
      <c r="G14" s="19">
        <f t="shared" si="6"/>
        <v>0</v>
      </c>
      <c r="I14" s="20"/>
      <c r="J14" s="20"/>
      <c r="K14" s="20"/>
      <c r="L14" s="20"/>
      <c r="M14" s="20"/>
    </row>
    <row r="15" ht="15.75" customHeight="1">
      <c r="A15" s="23"/>
      <c r="B15" s="24"/>
      <c r="C15" s="25"/>
      <c r="D15" s="26"/>
      <c r="E15" s="25">
        <f>'ITICBCN avaluació documentació '!AD15</f>
        <v>0</v>
      </c>
      <c r="F15" s="26">
        <f t="shared" si="5"/>
        <v>0</v>
      </c>
      <c r="G15" s="26">
        <f t="shared" si="6"/>
        <v>0</v>
      </c>
      <c r="H15" s="27"/>
      <c r="I15" s="28"/>
      <c r="J15" s="28"/>
      <c r="K15" s="28"/>
      <c r="L15" s="28"/>
      <c r="M15" s="28"/>
    </row>
    <row r="16" ht="15.75" customHeight="1">
      <c r="A16" s="35"/>
      <c r="B16" s="8"/>
      <c r="C16" s="9"/>
      <c r="D16" s="10"/>
      <c r="E16" s="10">
        <f>'ITICBCN avaluació documentació '!AE15</f>
        <v>0</v>
      </c>
      <c r="F16" s="10">
        <f t="shared" si="5"/>
        <v>0</v>
      </c>
      <c r="G16" s="10">
        <f t="shared" si="6"/>
        <v>0</v>
      </c>
      <c r="I16" s="14"/>
      <c r="J16" s="14"/>
      <c r="K16" s="14"/>
      <c r="L16" s="14"/>
      <c r="M16" s="14"/>
    </row>
    <row r="17" ht="15.75" customHeight="1">
      <c r="B17" s="33"/>
      <c r="C17" s="18"/>
      <c r="D17" s="19"/>
      <c r="E17" s="18">
        <f>'ITICBCN avaluació documentació '!AF15</f>
        <v>0</v>
      </c>
      <c r="F17" s="19">
        <f t="shared" si="5"/>
        <v>0</v>
      </c>
      <c r="G17" s="19">
        <f t="shared" si="6"/>
        <v>0</v>
      </c>
      <c r="I17" s="21"/>
      <c r="J17" s="21"/>
      <c r="K17" s="21"/>
      <c r="L17" s="21"/>
      <c r="M17" s="21"/>
    </row>
    <row r="18" ht="15.75" customHeight="1">
      <c r="B18" s="17"/>
      <c r="C18" s="18"/>
      <c r="D18" s="19"/>
      <c r="E18" s="18">
        <f>'ITICBCN avaluació documentació '!AG15</f>
        <v>0</v>
      </c>
      <c r="F18" s="19">
        <f t="shared" si="5"/>
        <v>0</v>
      </c>
      <c r="G18" s="19">
        <f t="shared" si="6"/>
        <v>0</v>
      </c>
      <c r="I18" s="20"/>
      <c r="J18" s="20"/>
      <c r="K18" s="20"/>
      <c r="L18" s="20"/>
      <c r="M18" s="20"/>
    </row>
    <row r="19" ht="15.75" customHeight="1">
      <c r="B19" s="33"/>
      <c r="C19" s="18"/>
      <c r="D19" s="19"/>
      <c r="E19" s="19">
        <f>'ITICBCN avaluació documentació '!AH15</f>
        <v>0</v>
      </c>
      <c r="F19" s="19">
        <f t="shared" si="5"/>
        <v>0</v>
      </c>
      <c r="G19" s="19">
        <f t="shared" si="6"/>
        <v>0</v>
      </c>
      <c r="I19" s="21"/>
      <c r="J19" s="21"/>
      <c r="K19" s="21"/>
      <c r="L19" s="21"/>
      <c r="M19" s="21"/>
    </row>
    <row r="20" ht="15.75" customHeight="1">
      <c r="B20" s="33"/>
      <c r="C20" s="18"/>
      <c r="D20" s="19"/>
      <c r="E20" s="19">
        <f>'ITICBCN avaluació documentació '!AI15</f>
        <v>0</v>
      </c>
      <c r="F20" s="19">
        <f t="shared" si="5"/>
        <v>0</v>
      </c>
      <c r="G20" s="19">
        <f t="shared" si="6"/>
        <v>0</v>
      </c>
      <c r="I20" s="20"/>
      <c r="J20" s="20"/>
      <c r="K20" s="20"/>
      <c r="L20" s="20"/>
      <c r="M20" s="20"/>
    </row>
    <row r="21" ht="15.75" customHeight="1">
      <c r="A21" s="23"/>
      <c r="B21" s="34"/>
      <c r="C21" s="25"/>
      <c r="D21" s="26"/>
      <c r="E21" s="26">
        <f>'ITICBCN avaluació documentació '!AJ15</f>
        <v>0</v>
      </c>
      <c r="F21" s="26">
        <f t="shared" si="5"/>
        <v>0</v>
      </c>
      <c r="G21" s="26">
        <f t="shared" si="6"/>
        <v>0</v>
      </c>
      <c r="H21" s="27"/>
      <c r="I21" s="28"/>
      <c r="J21" s="28"/>
      <c r="K21" s="28"/>
      <c r="L21" s="28"/>
      <c r="M21" s="28"/>
    </row>
    <row r="22" ht="15.75" customHeight="1">
      <c r="A22" s="35"/>
      <c r="B22" s="8"/>
      <c r="C22" s="9"/>
      <c r="D22" s="10" t="str">
        <f>'ITICBCN avaluació presentació 2'!AN14</f>
        <v/>
      </c>
      <c r="E22" s="10">
        <f>'ITICBCN avaluació documentació '!AK15</f>
        <v>0</v>
      </c>
      <c r="F22" s="10">
        <f t="shared" si="5"/>
        <v>0</v>
      </c>
      <c r="G22" s="10">
        <f t="shared" si="6"/>
        <v>0</v>
      </c>
      <c r="I22" s="14"/>
      <c r="J22" s="14"/>
      <c r="K22" s="14"/>
      <c r="L22" s="14"/>
      <c r="M22" s="14"/>
    </row>
    <row r="23" ht="15.75" customHeight="1">
      <c r="B23" s="33"/>
      <c r="C23" s="18"/>
      <c r="D23" s="19" t="str">
        <f>'ITICBCN avaluació presentació 2'!AN15</f>
        <v/>
      </c>
      <c r="E23" s="19">
        <f>'ITICBCN avaluació documentació '!AL15</f>
        <v>0</v>
      </c>
      <c r="F23" s="19">
        <f t="shared" si="5"/>
        <v>0</v>
      </c>
      <c r="G23" s="19">
        <f t="shared" si="6"/>
        <v>0</v>
      </c>
      <c r="I23" s="21"/>
      <c r="J23" s="21"/>
      <c r="K23" s="21"/>
      <c r="L23" s="21"/>
      <c r="M23" s="21"/>
    </row>
    <row r="24" ht="15.75" customHeight="1">
      <c r="B24" s="36"/>
      <c r="C24" s="18"/>
      <c r="D24" s="19" t="str">
        <f>'ITICBCN avaluació presentació 2'!AN16</f>
        <v/>
      </c>
      <c r="E24" s="19">
        <f>'ITICBCN avaluació documentació '!AM15</f>
        <v>0</v>
      </c>
      <c r="F24" s="19">
        <f t="shared" si="5"/>
        <v>0</v>
      </c>
      <c r="G24" s="19">
        <f t="shared" si="6"/>
        <v>0</v>
      </c>
      <c r="I24" s="20"/>
      <c r="J24" s="20"/>
      <c r="K24" s="20"/>
      <c r="L24" s="20"/>
      <c r="M24" s="20"/>
    </row>
    <row r="25" ht="15.75" customHeight="1">
      <c r="B25" s="36"/>
      <c r="C25" s="18"/>
      <c r="D25" s="19">
        <f>'ITICBCN avaluació presentació 2'!AN17</f>
        <v>0</v>
      </c>
      <c r="E25" s="19">
        <f>'ITICBCN avaluació documentació '!AN15</f>
        <v>0</v>
      </c>
      <c r="F25" s="19">
        <f t="shared" si="5"/>
        <v>0</v>
      </c>
      <c r="G25" s="19">
        <f t="shared" si="6"/>
        <v>0</v>
      </c>
      <c r="I25" s="21"/>
      <c r="J25" s="21"/>
      <c r="K25" s="21"/>
      <c r="L25" s="21"/>
      <c r="M25" s="21"/>
    </row>
    <row r="26" ht="15.75" customHeight="1">
      <c r="B26" s="36"/>
      <c r="C26" s="19"/>
      <c r="D26" s="19">
        <f>'ITICBCN avaluació presentació 2'!AO17</f>
        <v>0</v>
      </c>
      <c r="E26" s="19">
        <f>'ITICBCN avaluació documentació '!AO15</f>
        <v>0</v>
      </c>
      <c r="F26" s="19">
        <f t="shared" si="5"/>
        <v>0</v>
      </c>
      <c r="G26" s="19">
        <f t="shared" si="6"/>
        <v>0</v>
      </c>
      <c r="I26" s="20"/>
      <c r="J26" s="20"/>
      <c r="K26" s="20"/>
      <c r="L26" s="20"/>
      <c r="M26" s="20"/>
    </row>
    <row r="27" ht="15.75" customHeight="1">
      <c r="A27" s="23"/>
      <c r="B27" s="37"/>
      <c r="C27" s="25"/>
      <c r="D27" s="26">
        <f>'ITICBCN avaluació presentació 2'!AP17</f>
        <v>0</v>
      </c>
      <c r="E27" s="26">
        <f>'ITICBCN avaluació documentació '!AP15</f>
        <v>0</v>
      </c>
      <c r="F27" s="26">
        <f t="shared" si="5"/>
        <v>0</v>
      </c>
      <c r="G27" s="26">
        <f t="shared" si="6"/>
        <v>0</v>
      </c>
      <c r="H27" s="27"/>
      <c r="I27" s="38"/>
      <c r="J27" s="38"/>
      <c r="K27" s="38"/>
      <c r="L27" s="38"/>
      <c r="M27" s="38"/>
    </row>
    <row r="28" ht="15.75" customHeight="1">
      <c r="A28" s="35"/>
      <c r="B28" s="39"/>
      <c r="C28" s="9"/>
      <c r="D28" s="10">
        <f>'ITICBCN avaluació presentació 2'!AQ17</f>
        <v>0</v>
      </c>
      <c r="E28" s="10">
        <f>'ITICBCN avaluació documentació '!AQ15</f>
        <v>0</v>
      </c>
      <c r="F28" s="10">
        <f t="shared" si="5"/>
        <v>0</v>
      </c>
      <c r="G28" s="10">
        <f t="shared" si="6"/>
        <v>0</v>
      </c>
      <c r="I28" s="13"/>
      <c r="J28" s="13"/>
      <c r="K28" s="13"/>
      <c r="L28" s="13"/>
      <c r="M28" s="13"/>
    </row>
    <row r="29" ht="15.75" customHeight="1">
      <c r="B29" s="36"/>
      <c r="C29" s="18"/>
      <c r="D29" s="18">
        <f>'ITICBCN avaluació presentació 2'!AR17</f>
        <v>0</v>
      </c>
      <c r="E29" s="19">
        <f>'ITICBCN avaluació documentació '!AR15</f>
        <v>0</v>
      </c>
      <c r="F29" s="19">
        <f t="shared" si="5"/>
        <v>0</v>
      </c>
      <c r="G29" s="19">
        <f t="shared" si="6"/>
        <v>0</v>
      </c>
      <c r="I29" s="20"/>
      <c r="J29" s="20"/>
      <c r="K29" s="20"/>
      <c r="L29" s="20"/>
      <c r="M29" s="20"/>
    </row>
    <row r="30" ht="15.75" customHeight="1">
      <c r="B30" s="40"/>
      <c r="C30" s="18"/>
      <c r="D30" s="19">
        <f>'ITICBCN avaluació presentació 2'!AS17</f>
        <v>0</v>
      </c>
      <c r="E30" s="19">
        <f>'ITICBCN avaluació documentació '!AS15</f>
        <v>0</v>
      </c>
      <c r="F30" s="19">
        <f t="shared" si="5"/>
        <v>0</v>
      </c>
      <c r="G30" s="19">
        <f t="shared" si="6"/>
        <v>0</v>
      </c>
      <c r="I30" s="21"/>
      <c r="J30" s="21"/>
      <c r="K30" s="21"/>
      <c r="L30" s="21"/>
      <c r="M30" s="21"/>
    </row>
    <row r="31" ht="15.75" customHeight="1">
      <c r="B31" s="41"/>
      <c r="C31" s="18"/>
      <c r="D31" s="19">
        <f>'ITICBCN avaluació presentació 2'!AT17</f>
        <v>0</v>
      </c>
      <c r="E31" s="19">
        <f>'ITICBCN avaluació documentació '!AT15</f>
        <v>0</v>
      </c>
      <c r="F31" s="19">
        <f t="shared" si="5"/>
        <v>0</v>
      </c>
      <c r="G31" s="19">
        <f t="shared" si="6"/>
        <v>0</v>
      </c>
      <c r="I31" s="20"/>
      <c r="J31" s="20"/>
      <c r="K31" s="20"/>
      <c r="L31" s="20"/>
      <c r="M31" s="20"/>
    </row>
    <row r="32" ht="15.75" customHeight="1">
      <c r="B32" s="41"/>
      <c r="C32" s="18"/>
      <c r="D32" s="19">
        <f>'ITICBCN avaluació presentació 2'!AU17</f>
        <v>0</v>
      </c>
      <c r="E32" s="19">
        <f>'ITICBCN avaluació documentació '!AU15</f>
        <v>0</v>
      </c>
      <c r="F32" s="19">
        <f t="shared" si="5"/>
        <v>0</v>
      </c>
      <c r="G32" s="19">
        <f t="shared" si="6"/>
        <v>0</v>
      </c>
      <c r="I32" s="21"/>
      <c r="J32" s="21"/>
      <c r="K32" s="21"/>
      <c r="L32" s="21"/>
      <c r="M32" s="21"/>
    </row>
    <row r="33" ht="15.75" customHeight="1">
      <c r="A33" s="23"/>
      <c r="B33" s="42"/>
      <c r="C33" s="26"/>
      <c r="D33" s="26">
        <f>'ITICBCN avaluació presentació 2'!AV17</f>
        <v>0</v>
      </c>
      <c r="E33" s="26">
        <f>'ITICBCN avaluació documentació '!AV15</f>
        <v>0</v>
      </c>
      <c r="F33" s="26">
        <f t="shared" si="5"/>
        <v>0</v>
      </c>
      <c r="G33" s="26">
        <f t="shared" si="6"/>
        <v>0</v>
      </c>
      <c r="H33" s="27"/>
      <c r="I33" s="38"/>
      <c r="J33" s="38"/>
      <c r="K33" s="38"/>
      <c r="L33" s="38"/>
      <c r="M33" s="38"/>
    </row>
    <row r="34" ht="15.75" customHeight="1">
      <c r="A34" s="35"/>
      <c r="B34" s="43"/>
      <c r="C34" s="10"/>
      <c r="D34" s="10">
        <f>'ITICBCN avaluació presentació 2'!AW17</f>
        <v>0</v>
      </c>
      <c r="E34" s="10">
        <f>'ITICBCN avaluació documentació '!AW15</f>
        <v>0</v>
      </c>
      <c r="F34" s="10">
        <f t="shared" si="5"/>
        <v>0</v>
      </c>
      <c r="G34" s="10">
        <f t="shared" si="6"/>
        <v>0</v>
      </c>
      <c r="I34" s="13"/>
      <c r="J34" s="13"/>
      <c r="K34" s="13"/>
      <c r="L34" s="13"/>
      <c r="M34" s="13"/>
    </row>
    <row r="35" ht="15.75" customHeight="1">
      <c r="B35" s="41"/>
      <c r="C35" s="18"/>
      <c r="D35" s="19">
        <f>'ITICBCN avaluació presentació 2'!AX17</f>
        <v>0</v>
      </c>
      <c r="E35" s="19">
        <f>'ITICBCN avaluació documentació '!AX15</f>
        <v>0</v>
      </c>
      <c r="F35" s="19">
        <f t="shared" si="5"/>
        <v>0</v>
      </c>
      <c r="G35" s="19">
        <f t="shared" si="6"/>
        <v>0</v>
      </c>
      <c r="I35" s="20"/>
      <c r="J35" s="20"/>
      <c r="K35" s="20"/>
      <c r="L35" s="20"/>
      <c r="M35" s="20"/>
    </row>
    <row r="36" ht="15.75" customHeight="1">
      <c r="B36" s="41"/>
      <c r="C36" s="18"/>
      <c r="D36" s="19">
        <f>'ITICBCN avaluació presentació 2'!AY17</f>
        <v>0</v>
      </c>
      <c r="E36" s="19">
        <f>'ITICBCN avaluació documentació '!AY15</f>
        <v>0</v>
      </c>
      <c r="F36" s="19">
        <f t="shared" si="5"/>
        <v>0</v>
      </c>
      <c r="G36" s="19">
        <f t="shared" si="6"/>
        <v>0</v>
      </c>
      <c r="I36" s="21"/>
      <c r="J36" s="21"/>
      <c r="K36" s="21"/>
      <c r="L36" s="21"/>
      <c r="M36" s="21"/>
    </row>
    <row r="37" ht="15.75" customHeight="1">
      <c r="B37" s="41"/>
      <c r="C37" s="18"/>
      <c r="D37" s="19">
        <f>'ITICBCN avaluació presentació 2'!AZ17</f>
        <v>0</v>
      </c>
      <c r="E37" s="18">
        <v>10.0</v>
      </c>
      <c r="F37" s="19">
        <f t="shared" si="5"/>
        <v>0</v>
      </c>
      <c r="G37" s="19">
        <f t="shared" si="6"/>
        <v>0</v>
      </c>
      <c r="I37" s="20"/>
      <c r="J37" s="20"/>
      <c r="K37" s="20"/>
      <c r="L37" s="20"/>
      <c r="M37" s="20"/>
    </row>
    <row r="38" ht="15.75" customHeight="1">
      <c r="A38" s="23"/>
      <c r="B38" s="42"/>
      <c r="C38" s="26"/>
      <c r="D38" s="26">
        <f>'ITICBCN avaluació presentació 2'!BA17</f>
        <v>0</v>
      </c>
      <c r="E38" s="26">
        <f>'ITICBCN avaluació documentació '!BA15</f>
        <v>0</v>
      </c>
      <c r="F38" s="26">
        <f t="shared" si="5"/>
        <v>0</v>
      </c>
      <c r="G38" s="26">
        <f t="shared" si="6"/>
        <v>0</v>
      </c>
      <c r="H38" s="27"/>
      <c r="I38" s="28"/>
      <c r="J38" s="28"/>
      <c r="K38" s="28"/>
      <c r="L38" s="28"/>
      <c r="M38" s="28"/>
    </row>
    <row r="39" ht="15.75" customHeight="1">
      <c r="A39" s="35"/>
      <c r="B39" s="43"/>
      <c r="C39" s="10"/>
      <c r="D39" s="10"/>
      <c r="E39" s="10"/>
      <c r="F39" s="10"/>
      <c r="G39" s="10"/>
      <c r="I39" s="13"/>
      <c r="J39" s="13"/>
      <c r="K39" s="13"/>
      <c r="L39" s="13"/>
      <c r="M39" s="13"/>
    </row>
    <row r="40" ht="15.75" customHeight="1">
      <c r="B40" s="41"/>
      <c r="C40" s="18"/>
      <c r="D40" s="19"/>
      <c r="E40" s="19"/>
      <c r="F40" s="19"/>
      <c r="G40" s="19"/>
      <c r="I40" s="20"/>
      <c r="J40" s="20"/>
      <c r="K40" s="20"/>
      <c r="L40" s="20"/>
      <c r="M40" s="20"/>
    </row>
    <row r="41" ht="15.75" customHeight="1">
      <c r="B41" s="41"/>
      <c r="C41" s="18"/>
      <c r="D41" s="19"/>
      <c r="E41" s="19"/>
      <c r="F41" s="19"/>
      <c r="G41" s="19"/>
      <c r="I41" s="21"/>
      <c r="J41" s="21"/>
      <c r="K41" s="21"/>
      <c r="L41" s="21"/>
      <c r="M41" s="21"/>
    </row>
    <row r="42" ht="15.75" customHeight="1">
      <c r="B42" s="41"/>
      <c r="C42" s="18"/>
      <c r="D42" s="19"/>
      <c r="E42" s="18"/>
      <c r="F42" s="19"/>
      <c r="G42" s="19"/>
      <c r="I42" s="20"/>
      <c r="J42" s="20"/>
      <c r="K42" s="20"/>
      <c r="L42" s="20"/>
      <c r="M42" s="20"/>
    </row>
    <row r="43" ht="15.75" customHeight="1">
      <c r="A43" s="23"/>
      <c r="B43" s="42"/>
      <c r="C43" s="26"/>
      <c r="D43" s="26"/>
      <c r="E43" s="26"/>
      <c r="F43" s="26"/>
      <c r="G43" s="26"/>
      <c r="H43" s="27"/>
      <c r="I43" s="28"/>
      <c r="J43" s="28"/>
      <c r="K43" s="28"/>
      <c r="L43" s="28"/>
      <c r="M43" s="28"/>
    </row>
    <row r="44" ht="15.75" customHeight="1">
      <c r="A44" s="35"/>
      <c r="B44" s="44"/>
      <c r="C44" s="45"/>
      <c r="D44" s="46"/>
      <c r="E44" s="46"/>
      <c r="F44" s="46"/>
      <c r="G44" s="46"/>
      <c r="I44" s="13"/>
      <c r="J44" s="13"/>
      <c r="K44" s="13"/>
      <c r="L44" s="13"/>
      <c r="M44" s="13"/>
    </row>
    <row r="45" ht="15.75" customHeight="1">
      <c r="B45" s="47"/>
      <c r="C45" s="19"/>
      <c r="D45" s="19"/>
      <c r="E45" s="19"/>
      <c r="F45" s="19"/>
      <c r="G45" s="19"/>
      <c r="I45" s="20"/>
      <c r="J45" s="20"/>
      <c r="K45" s="20"/>
      <c r="L45" s="20"/>
      <c r="M45" s="20"/>
    </row>
    <row r="46" ht="15.75" customHeight="1">
      <c r="B46" s="47"/>
      <c r="C46" s="19"/>
      <c r="D46" s="19"/>
      <c r="E46" s="19"/>
      <c r="F46" s="19"/>
      <c r="G46" s="19"/>
      <c r="I46" s="21"/>
      <c r="J46" s="21"/>
      <c r="K46" s="21"/>
      <c r="L46" s="21"/>
      <c r="M46" s="21"/>
    </row>
    <row r="47" ht="15.75" customHeight="1">
      <c r="B47" s="41"/>
      <c r="C47" s="10"/>
      <c r="D47" s="10"/>
      <c r="E47" s="10"/>
      <c r="F47" s="10"/>
      <c r="G47" s="10"/>
      <c r="I47" s="20"/>
      <c r="J47" s="20"/>
      <c r="K47" s="20"/>
      <c r="L47" s="20"/>
      <c r="M47" s="20"/>
    </row>
    <row r="48" ht="15.75" customHeight="1">
      <c r="A48" s="23"/>
      <c r="B48" s="41"/>
      <c r="C48" s="19"/>
      <c r="D48" s="19"/>
      <c r="E48" s="19"/>
      <c r="F48" s="19"/>
      <c r="G48" s="19"/>
      <c r="I48" s="21"/>
      <c r="J48" s="21"/>
      <c r="K48" s="21"/>
      <c r="L48" s="21"/>
      <c r="M48" s="21"/>
    </row>
    <row r="49" ht="15.75" customHeight="1">
      <c r="A49" s="40"/>
      <c r="B49" s="41"/>
      <c r="C49" s="19"/>
      <c r="D49" s="19"/>
      <c r="E49" s="19"/>
      <c r="F49" s="19"/>
      <c r="G49" s="19"/>
      <c r="I49" s="20"/>
      <c r="J49" s="20"/>
      <c r="K49" s="20"/>
      <c r="L49" s="20"/>
      <c r="M49" s="20"/>
    </row>
    <row r="50" ht="15.75" customHeight="1">
      <c r="A50" s="40"/>
      <c r="B50" s="41"/>
      <c r="C50" s="19"/>
      <c r="D50" s="19"/>
      <c r="E50" s="19"/>
      <c r="F50" s="19"/>
      <c r="G50" s="19"/>
      <c r="I50" s="21"/>
      <c r="J50" s="21"/>
      <c r="K50" s="21"/>
      <c r="L50" s="21"/>
      <c r="M50" s="21"/>
    </row>
    <row r="51" ht="15.75" customHeight="1">
      <c r="A51" s="40"/>
      <c r="B51" s="41"/>
      <c r="C51" s="19"/>
      <c r="D51" s="19"/>
      <c r="E51" s="19"/>
      <c r="F51" s="19"/>
      <c r="G51" s="41"/>
      <c r="I51" s="21"/>
      <c r="J51" s="21"/>
      <c r="K51" s="21"/>
      <c r="L51" s="21"/>
      <c r="M51" s="21"/>
    </row>
    <row r="52" ht="15.75" customHeight="1">
      <c r="A52" s="40"/>
      <c r="B52" s="41"/>
      <c r="C52" s="19"/>
      <c r="D52" s="19"/>
      <c r="E52" s="19"/>
      <c r="F52" s="19"/>
      <c r="G52" s="41"/>
      <c r="I52" s="20"/>
      <c r="J52" s="20"/>
      <c r="K52" s="20"/>
      <c r="L52" s="20"/>
      <c r="M52" s="20"/>
    </row>
    <row r="53" ht="15.75" customHeight="1">
      <c r="A53" s="40"/>
      <c r="B53" s="41"/>
      <c r="C53" s="19"/>
      <c r="D53" s="19"/>
      <c r="E53" s="19"/>
      <c r="F53" s="19"/>
      <c r="G53" s="41"/>
      <c r="I53" s="21"/>
      <c r="J53" s="21"/>
      <c r="K53" s="21"/>
      <c r="L53" s="21"/>
      <c r="M53" s="21"/>
    </row>
    <row r="54" ht="15.75" customHeight="1">
      <c r="A54" s="40"/>
      <c r="B54" s="41"/>
      <c r="C54" s="19"/>
      <c r="D54" s="19"/>
      <c r="E54" s="19"/>
      <c r="F54" s="19"/>
      <c r="G54" s="41"/>
      <c r="I54" s="20"/>
      <c r="J54" s="20"/>
      <c r="K54" s="20"/>
      <c r="L54" s="20"/>
      <c r="M54" s="20"/>
    </row>
    <row r="55" ht="15.75" customHeight="1">
      <c r="A55" s="40"/>
      <c r="B55" s="41"/>
      <c r="C55" s="19"/>
      <c r="D55" s="19"/>
      <c r="E55" s="19"/>
      <c r="F55" s="19"/>
      <c r="G55" s="41"/>
      <c r="I55" s="21"/>
      <c r="J55" s="21"/>
      <c r="K55" s="21"/>
      <c r="L55" s="21"/>
      <c r="M55" s="21"/>
    </row>
    <row r="56" ht="15.75" customHeight="1">
      <c r="A56" s="40"/>
      <c r="B56" s="41"/>
      <c r="C56" s="19"/>
      <c r="D56" s="19"/>
      <c r="E56" s="19"/>
      <c r="F56" s="19"/>
      <c r="G56" s="41"/>
      <c r="I56" s="20"/>
      <c r="J56" s="20"/>
      <c r="K56" s="20"/>
      <c r="L56" s="20"/>
      <c r="M56" s="20"/>
    </row>
    <row r="57" ht="15.75" customHeight="1">
      <c r="A57" s="40"/>
      <c r="B57" s="41"/>
      <c r="C57" s="19"/>
      <c r="D57" s="19"/>
      <c r="E57" s="19"/>
      <c r="F57" s="19"/>
      <c r="G57" s="41"/>
      <c r="I57" s="21"/>
      <c r="J57" s="21"/>
      <c r="K57" s="21"/>
      <c r="L57" s="21"/>
      <c r="M57" s="21"/>
    </row>
    <row r="58" ht="15.75" customHeight="1">
      <c r="A58" s="40"/>
      <c r="B58" s="41"/>
      <c r="C58" s="19"/>
      <c r="D58" s="19"/>
      <c r="E58" s="19"/>
      <c r="F58" s="19"/>
      <c r="G58" s="41"/>
      <c r="I58" s="20"/>
      <c r="J58" s="20"/>
      <c r="K58" s="20"/>
      <c r="L58" s="20"/>
      <c r="M58" s="20"/>
    </row>
    <row r="59" ht="15.75" customHeight="1">
      <c r="A59" s="40"/>
      <c r="B59" s="41"/>
      <c r="C59" s="19"/>
      <c r="D59" s="19"/>
      <c r="E59" s="19"/>
      <c r="F59" s="19"/>
      <c r="G59" s="41"/>
      <c r="I59" s="21"/>
      <c r="J59" s="21"/>
      <c r="K59" s="21"/>
      <c r="L59" s="21"/>
      <c r="M59" s="21"/>
    </row>
    <row r="60" ht="15.75" customHeight="1">
      <c r="A60" s="40"/>
      <c r="B60" s="41"/>
      <c r="C60" s="19"/>
      <c r="D60" s="19"/>
      <c r="E60" s="19"/>
      <c r="F60" s="19"/>
      <c r="G60" s="41"/>
      <c r="I60" s="20"/>
      <c r="J60" s="20"/>
      <c r="K60" s="20"/>
      <c r="L60" s="20"/>
      <c r="M60" s="20"/>
    </row>
    <row r="61" ht="15.75" customHeight="1">
      <c r="A61" s="40"/>
      <c r="B61" s="41"/>
      <c r="C61" s="19"/>
      <c r="D61" s="19"/>
      <c r="E61" s="19"/>
      <c r="F61" s="19"/>
      <c r="G61" s="41"/>
      <c r="I61" s="21"/>
      <c r="J61" s="21"/>
      <c r="K61" s="21"/>
      <c r="L61" s="21"/>
      <c r="M61" s="21"/>
    </row>
    <row r="62" ht="15.75" customHeight="1">
      <c r="A62" s="40"/>
      <c r="B62" s="41"/>
      <c r="C62" s="19"/>
      <c r="D62" s="19"/>
      <c r="E62" s="19"/>
      <c r="F62" s="19"/>
      <c r="G62" s="41"/>
      <c r="I62" s="20"/>
      <c r="J62" s="20"/>
      <c r="K62" s="20"/>
      <c r="L62" s="20"/>
      <c r="M62" s="20"/>
    </row>
    <row r="63" ht="15.75" customHeight="1">
      <c r="A63" s="40"/>
      <c r="B63" s="41"/>
      <c r="C63" s="19"/>
      <c r="D63" s="19"/>
      <c r="E63" s="19"/>
      <c r="F63" s="19"/>
      <c r="G63" s="41"/>
      <c r="I63" s="21"/>
      <c r="J63" s="21"/>
      <c r="K63" s="21"/>
      <c r="L63" s="21"/>
      <c r="M63" s="21"/>
    </row>
    <row r="64" ht="15.75" customHeight="1">
      <c r="A64" s="40"/>
      <c r="B64" s="41"/>
      <c r="C64" s="19"/>
      <c r="D64" s="19"/>
      <c r="E64" s="19"/>
      <c r="F64" s="19"/>
      <c r="G64" s="41"/>
      <c r="I64" s="20"/>
      <c r="J64" s="20"/>
      <c r="K64" s="20"/>
      <c r="L64" s="20"/>
      <c r="M64" s="20"/>
    </row>
    <row r="65" ht="15.75" customHeight="1">
      <c r="A65" s="40"/>
      <c r="B65" s="41"/>
      <c r="C65" s="19"/>
      <c r="D65" s="19"/>
      <c r="E65" s="19"/>
      <c r="F65" s="19"/>
      <c r="G65" s="41"/>
      <c r="I65" s="21"/>
      <c r="J65" s="21"/>
      <c r="K65" s="21"/>
      <c r="L65" s="21"/>
      <c r="M65" s="21"/>
    </row>
    <row r="66" ht="15.75" customHeight="1">
      <c r="A66" s="40"/>
      <c r="B66" s="41"/>
      <c r="C66" s="41"/>
      <c r="D66" s="41"/>
      <c r="E66" s="41"/>
      <c r="F66" s="41"/>
      <c r="G66" s="41"/>
      <c r="I66" s="20"/>
      <c r="J66" s="20"/>
      <c r="K66" s="20"/>
      <c r="L66" s="20"/>
      <c r="M66" s="2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6">
    <mergeCell ref="B1:B2"/>
    <mergeCell ref="I1:I2"/>
    <mergeCell ref="J1:J2"/>
    <mergeCell ref="K1:K2"/>
    <mergeCell ref="L1:L2"/>
    <mergeCell ref="M1:M2"/>
    <mergeCell ref="N1:N2"/>
    <mergeCell ref="A39:A43"/>
    <mergeCell ref="A44:A48"/>
    <mergeCell ref="A3:A6"/>
    <mergeCell ref="A7:A10"/>
    <mergeCell ref="A11:A15"/>
    <mergeCell ref="A16:A21"/>
    <mergeCell ref="A22:A27"/>
    <mergeCell ref="A28:A33"/>
    <mergeCell ref="A34:A38"/>
  </mergeCells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5" width="22.88"/>
    <col customWidth="1" min="6" max="76" width="12.38"/>
  </cols>
  <sheetData>
    <row r="1" ht="21.0" customHeight="1">
      <c r="A1" s="48"/>
      <c r="B1" s="49"/>
      <c r="C1" s="49"/>
      <c r="D1" s="49"/>
      <c r="E1" s="49"/>
      <c r="F1" s="50"/>
      <c r="G1" s="50"/>
      <c r="H1" s="50"/>
      <c r="I1" s="51"/>
      <c r="J1" s="50"/>
      <c r="K1" s="51"/>
      <c r="L1" s="50"/>
      <c r="M1" s="50"/>
      <c r="N1" s="50"/>
      <c r="O1" s="50"/>
      <c r="P1" s="50"/>
      <c r="Q1" s="50"/>
      <c r="R1" s="52"/>
      <c r="X1" s="50"/>
      <c r="Y1" s="50"/>
      <c r="Z1" s="50"/>
      <c r="AA1" s="50"/>
      <c r="AB1" s="50"/>
      <c r="AC1" s="50"/>
      <c r="AD1" s="50"/>
      <c r="AE1" s="52"/>
      <c r="AK1" s="52"/>
      <c r="AP1" s="53"/>
      <c r="AQ1" s="52"/>
      <c r="AV1" s="53"/>
      <c r="AW1" s="50"/>
      <c r="BA1" s="53"/>
      <c r="BB1" s="50"/>
      <c r="BF1" s="53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</row>
    <row r="2" ht="39.0" customHeight="1">
      <c r="A2" s="48"/>
      <c r="B2" s="49"/>
      <c r="C2" s="49"/>
      <c r="D2" s="49"/>
      <c r="E2" s="49"/>
      <c r="F2" s="55" t="s">
        <v>31</v>
      </c>
      <c r="G2" s="56" t="s">
        <v>32</v>
      </c>
      <c r="H2" s="56"/>
      <c r="I2" s="57"/>
      <c r="J2" s="58"/>
      <c r="K2" s="57"/>
      <c r="L2" s="58"/>
      <c r="M2" s="58"/>
      <c r="N2" s="56"/>
      <c r="O2" s="56"/>
      <c r="P2" s="56"/>
      <c r="Q2" s="59"/>
      <c r="R2" s="55"/>
      <c r="S2" s="56"/>
      <c r="T2" s="56"/>
      <c r="U2" s="56"/>
      <c r="V2" s="56"/>
      <c r="W2" s="59"/>
      <c r="X2" s="56"/>
      <c r="Y2" s="56"/>
      <c r="Z2" s="56"/>
      <c r="AA2" s="56"/>
      <c r="AB2" s="56"/>
      <c r="AC2" s="56"/>
      <c r="AD2" s="56"/>
      <c r="AE2" s="55"/>
      <c r="AF2" s="56"/>
      <c r="AG2" s="56"/>
      <c r="AH2" s="56"/>
      <c r="AI2" s="56"/>
      <c r="AJ2" s="60"/>
      <c r="AK2" s="55"/>
      <c r="AL2" s="60"/>
      <c r="AM2" s="56"/>
      <c r="AN2" s="56"/>
      <c r="AO2" s="56"/>
      <c r="AP2" s="57"/>
      <c r="AQ2" s="58"/>
      <c r="AR2" s="56"/>
      <c r="AS2" s="56"/>
      <c r="AT2" s="56"/>
      <c r="AU2" s="56"/>
      <c r="AV2" s="57"/>
      <c r="AW2" s="58"/>
      <c r="AX2" s="56"/>
      <c r="AY2" s="56"/>
      <c r="AZ2" s="57"/>
      <c r="BA2" s="57"/>
      <c r="BB2" s="58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</row>
    <row r="3" ht="37.5" customHeight="1">
      <c r="A3" s="62" t="s">
        <v>33</v>
      </c>
      <c r="B3" s="63" t="s">
        <v>34</v>
      </c>
      <c r="C3" s="64" t="s">
        <v>35</v>
      </c>
      <c r="D3" s="64" t="s">
        <v>36</v>
      </c>
      <c r="E3" s="65" t="s">
        <v>37</v>
      </c>
      <c r="F3" s="66">
        <v>4.0</v>
      </c>
      <c r="G3" s="67">
        <v>2.0</v>
      </c>
      <c r="H3" s="67"/>
      <c r="I3" s="67"/>
      <c r="J3" s="68"/>
      <c r="K3" s="67"/>
      <c r="L3" s="68"/>
      <c r="M3" s="69"/>
      <c r="N3" s="69"/>
      <c r="O3" s="69"/>
      <c r="P3" s="69"/>
      <c r="Q3" s="67"/>
      <c r="R3" s="70"/>
      <c r="S3" s="69"/>
      <c r="T3" s="69"/>
      <c r="U3" s="69"/>
      <c r="V3" s="69"/>
      <c r="W3" s="67"/>
      <c r="X3" s="69"/>
      <c r="Y3" s="69"/>
      <c r="Z3" s="69"/>
      <c r="AA3" s="69"/>
      <c r="AB3" s="69"/>
      <c r="AC3" s="69"/>
      <c r="AD3" s="69"/>
      <c r="AE3" s="70"/>
      <c r="AF3" s="69"/>
      <c r="AG3" s="70"/>
      <c r="AH3" s="69"/>
      <c r="AI3" s="69">
        <v>4.0</v>
      </c>
      <c r="AJ3" s="66">
        <v>3.0</v>
      </c>
      <c r="AK3" s="69">
        <v>2.0</v>
      </c>
      <c r="AL3" s="69">
        <v>2.0</v>
      </c>
      <c r="AM3" s="69"/>
      <c r="AN3" s="69"/>
      <c r="AO3" s="69"/>
      <c r="AP3" s="71"/>
      <c r="AQ3" s="72"/>
      <c r="AR3" s="69"/>
      <c r="AS3" s="69"/>
      <c r="AT3" s="69"/>
      <c r="AU3" s="69"/>
      <c r="AV3" s="71"/>
      <c r="AW3" s="72"/>
      <c r="AX3" s="69"/>
      <c r="AY3" s="69"/>
      <c r="AZ3" s="69"/>
      <c r="BA3" s="73"/>
      <c r="BB3" s="72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</row>
    <row r="4" ht="24.75" customHeight="1">
      <c r="A4" s="3"/>
      <c r="B4" s="75" t="s">
        <v>38</v>
      </c>
      <c r="C4" s="76" t="s">
        <v>39</v>
      </c>
      <c r="D4" s="76" t="s">
        <v>40</v>
      </c>
      <c r="E4" s="77" t="s">
        <v>41</v>
      </c>
      <c r="F4" s="78"/>
      <c r="G4" s="79"/>
      <c r="H4" s="79"/>
      <c r="I4" s="79"/>
      <c r="J4" s="78"/>
      <c r="K4" s="79"/>
      <c r="L4" s="78"/>
      <c r="M4" s="3"/>
      <c r="N4" s="3"/>
      <c r="O4" s="3"/>
      <c r="P4" s="3"/>
      <c r="Q4" s="79"/>
      <c r="R4" s="80"/>
      <c r="S4" s="3"/>
      <c r="T4" s="3"/>
      <c r="U4" s="3"/>
      <c r="V4" s="3"/>
      <c r="W4" s="79"/>
      <c r="X4" s="3"/>
      <c r="Y4" s="3"/>
      <c r="Z4" s="3"/>
      <c r="AA4" s="3"/>
      <c r="AB4" s="3"/>
      <c r="AC4" s="3"/>
      <c r="AD4" s="3"/>
      <c r="AE4" s="80"/>
      <c r="AF4" s="3"/>
      <c r="AG4" s="80"/>
      <c r="AH4" s="3"/>
      <c r="AI4" s="3"/>
      <c r="AJ4" s="78"/>
      <c r="AK4" s="3"/>
      <c r="AL4" s="3"/>
      <c r="AM4" s="3"/>
      <c r="AN4" s="3"/>
      <c r="AO4" s="3"/>
      <c r="AP4" s="81"/>
      <c r="AQ4" s="82"/>
      <c r="AR4" s="3"/>
      <c r="AS4" s="3"/>
      <c r="AT4" s="3"/>
      <c r="AU4" s="3"/>
      <c r="AV4" s="81"/>
      <c r="AW4" s="82"/>
      <c r="AX4" s="3"/>
      <c r="AY4" s="3"/>
      <c r="AZ4" s="3"/>
      <c r="BA4" s="81"/>
      <c r="BB4" s="82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 ht="44.25" customHeight="1">
      <c r="A5" s="83" t="s">
        <v>42</v>
      </c>
      <c r="B5" s="84" t="s">
        <v>43</v>
      </c>
      <c r="C5" s="85" t="s">
        <v>44</v>
      </c>
      <c r="D5" s="85" t="s">
        <v>45</v>
      </c>
      <c r="E5" s="86" t="s">
        <v>46</v>
      </c>
      <c r="F5" s="87">
        <v>4.0</v>
      </c>
      <c r="G5" s="88">
        <v>1.0</v>
      </c>
      <c r="H5" s="88"/>
      <c r="I5" s="88"/>
      <c r="J5" s="87"/>
      <c r="K5" s="88"/>
      <c r="L5" s="87"/>
      <c r="M5" s="89"/>
      <c r="N5" s="89"/>
      <c r="O5" s="89"/>
      <c r="P5" s="89"/>
      <c r="Q5" s="88"/>
      <c r="R5" s="90"/>
      <c r="S5" s="89"/>
      <c r="T5" s="89"/>
      <c r="U5" s="89"/>
      <c r="V5" s="89"/>
      <c r="W5" s="88"/>
      <c r="X5" s="89"/>
      <c r="Y5" s="89"/>
      <c r="Z5" s="89"/>
      <c r="AA5" s="89"/>
      <c r="AB5" s="89"/>
      <c r="AC5" s="89"/>
      <c r="AD5" s="89"/>
      <c r="AE5" s="90"/>
      <c r="AF5" s="89"/>
      <c r="AG5" s="90"/>
      <c r="AH5" s="89"/>
      <c r="AI5" s="89">
        <v>3.0</v>
      </c>
      <c r="AJ5" s="87">
        <v>3.0</v>
      </c>
      <c r="AK5" s="89">
        <v>3.0</v>
      </c>
      <c r="AL5" s="89">
        <v>2.0</v>
      </c>
      <c r="AM5" s="89"/>
      <c r="AN5" s="89"/>
      <c r="AO5" s="89"/>
      <c r="AP5" s="91"/>
      <c r="AQ5" s="92"/>
      <c r="AR5" s="89"/>
      <c r="AS5" s="89"/>
      <c r="AT5" s="89"/>
      <c r="AU5" s="89"/>
      <c r="AV5" s="91"/>
      <c r="AW5" s="92"/>
      <c r="AX5" s="89"/>
      <c r="AY5" s="89"/>
      <c r="AZ5" s="89"/>
      <c r="BA5" s="93"/>
      <c r="BB5" s="92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</row>
    <row r="6" ht="21.0" customHeight="1">
      <c r="A6" s="3"/>
      <c r="B6" s="95" t="s">
        <v>38</v>
      </c>
      <c r="C6" s="96" t="s">
        <v>39</v>
      </c>
      <c r="D6" s="96" t="s">
        <v>40</v>
      </c>
      <c r="E6" s="97" t="s">
        <v>41</v>
      </c>
      <c r="F6" s="78"/>
      <c r="G6" s="79"/>
      <c r="H6" s="79"/>
      <c r="I6" s="79"/>
      <c r="J6" s="78"/>
      <c r="K6" s="79"/>
      <c r="L6" s="78"/>
      <c r="M6" s="3"/>
      <c r="N6" s="3"/>
      <c r="O6" s="3"/>
      <c r="P6" s="3"/>
      <c r="Q6" s="79"/>
      <c r="R6" s="80"/>
      <c r="S6" s="3"/>
      <c r="T6" s="3"/>
      <c r="U6" s="3"/>
      <c r="V6" s="3"/>
      <c r="W6" s="79"/>
      <c r="X6" s="3"/>
      <c r="Y6" s="3"/>
      <c r="Z6" s="3"/>
      <c r="AA6" s="3"/>
      <c r="AB6" s="3"/>
      <c r="AC6" s="3"/>
      <c r="AD6" s="3"/>
      <c r="AE6" s="80"/>
      <c r="AF6" s="3"/>
      <c r="AG6" s="80"/>
      <c r="AH6" s="3"/>
      <c r="AI6" s="3"/>
      <c r="AJ6" s="78"/>
      <c r="AK6" s="3"/>
      <c r="AL6" s="3"/>
      <c r="AM6" s="3"/>
      <c r="AN6" s="3"/>
      <c r="AO6" s="3"/>
      <c r="AP6" s="81"/>
      <c r="AQ6" s="82"/>
      <c r="AR6" s="3"/>
      <c r="AS6" s="3"/>
      <c r="AT6" s="3"/>
      <c r="AU6" s="3"/>
      <c r="AV6" s="81"/>
      <c r="AW6" s="82"/>
      <c r="AX6" s="3"/>
      <c r="AY6" s="3"/>
      <c r="AZ6" s="3"/>
      <c r="BA6" s="81"/>
      <c r="BB6" s="82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</row>
    <row r="7" ht="33.0" customHeight="1">
      <c r="A7" s="62" t="s">
        <v>47</v>
      </c>
      <c r="B7" s="63" t="s">
        <v>48</v>
      </c>
      <c r="C7" s="64" t="s">
        <v>49</v>
      </c>
      <c r="D7" s="64" t="s">
        <v>50</v>
      </c>
      <c r="E7" s="65" t="s">
        <v>51</v>
      </c>
      <c r="F7" s="66">
        <v>4.0</v>
      </c>
      <c r="G7" s="67">
        <v>1.0</v>
      </c>
      <c r="H7" s="67"/>
      <c r="I7" s="67"/>
      <c r="J7" s="66"/>
      <c r="K7" s="67"/>
      <c r="L7" s="66"/>
      <c r="M7" s="69"/>
      <c r="N7" s="69"/>
      <c r="O7" s="69"/>
      <c r="P7" s="69"/>
      <c r="Q7" s="67"/>
      <c r="R7" s="70"/>
      <c r="S7" s="69"/>
      <c r="T7" s="69"/>
      <c r="U7" s="69"/>
      <c r="V7" s="69"/>
      <c r="W7" s="67"/>
      <c r="X7" s="69"/>
      <c r="Y7" s="69"/>
      <c r="Z7" s="69"/>
      <c r="AA7" s="69"/>
      <c r="AB7" s="69"/>
      <c r="AC7" s="69"/>
      <c r="AD7" s="69"/>
      <c r="AE7" s="70"/>
      <c r="AF7" s="69"/>
      <c r="AG7" s="70"/>
      <c r="AH7" s="69"/>
      <c r="AI7" s="69">
        <v>3.0</v>
      </c>
      <c r="AJ7" s="66">
        <v>2.0</v>
      </c>
      <c r="AK7" s="69">
        <v>2.0</v>
      </c>
      <c r="AL7" s="69">
        <v>2.0</v>
      </c>
      <c r="AM7" s="69"/>
      <c r="AN7" s="69"/>
      <c r="AO7" s="69"/>
      <c r="AP7" s="71"/>
      <c r="AQ7" s="72"/>
      <c r="AR7" s="69"/>
      <c r="AS7" s="69"/>
      <c r="AT7" s="69"/>
      <c r="AU7" s="69"/>
      <c r="AV7" s="71"/>
      <c r="AW7" s="72"/>
      <c r="AX7" s="69"/>
      <c r="AY7" s="69"/>
      <c r="AZ7" s="69"/>
      <c r="BA7" s="73"/>
      <c r="BB7" s="72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</row>
    <row r="8" ht="27.0" customHeight="1">
      <c r="A8" s="3"/>
      <c r="B8" s="75" t="s">
        <v>38</v>
      </c>
      <c r="C8" s="76" t="s">
        <v>39</v>
      </c>
      <c r="D8" s="76" t="s">
        <v>40</v>
      </c>
      <c r="E8" s="77" t="s">
        <v>41</v>
      </c>
      <c r="F8" s="78"/>
      <c r="G8" s="79"/>
      <c r="H8" s="79"/>
      <c r="I8" s="79"/>
      <c r="J8" s="78"/>
      <c r="K8" s="79"/>
      <c r="L8" s="78"/>
      <c r="M8" s="3"/>
      <c r="N8" s="3"/>
      <c r="O8" s="3"/>
      <c r="P8" s="3"/>
      <c r="Q8" s="79"/>
      <c r="R8" s="80"/>
      <c r="S8" s="3"/>
      <c r="T8" s="3"/>
      <c r="U8" s="3"/>
      <c r="V8" s="3"/>
      <c r="W8" s="79"/>
      <c r="X8" s="3"/>
      <c r="Y8" s="3"/>
      <c r="Z8" s="3"/>
      <c r="AA8" s="3"/>
      <c r="AB8" s="3"/>
      <c r="AC8" s="3"/>
      <c r="AD8" s="3"/>
      <c r="AE8" s="80"/>
      <c r="AF8" s="3"/>
      <c r="AG8" s="80"/>
      <c r="AH8" s="3"/>
      <c r="AI8" s="3"/>
      <c r="AJ8" s="78"/>
      <c r="AK8" s="3"/>
      <c r="AL8" s="3"/>
      <c r="AM8" s="3"/>
      <c r="AN8" s="3"/>
      <c r="AO8" s="3"/>
      <c r="AP8" s="81"/>
      <c r="AQ8" s="82"/>
      <c r="AR8" s="3"/>
      <c r="AS8" s="3"/>
      <c r="AT8" s="3"/>
      <c r="AU8" s="3"/>
      <c r="AV8" s="81"/>
      <c r="AW8" s="82"/>
      <c r="AX8" s="3"/>
      <c r="AY8" s="3"/>
      <c r="AZ8" s="3"/>
      <c r="BA8" s="81"/>
      <c r="BB8" s="82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</row>
    <row r="9" ht="30.0" customHeight="1">
      <c r="A9" s="83" t="s">
        <v>52</v>
      </c>
      <c r="B9" s="84" t="s">
        <v>53</v>
      </c>
      <c r="C9" s="85" t="s">
        <v>54</v>
      </c>
      <c r="D9" s="85" t="s">
        <v>55</v>
      </c>
      <c r="E9" s="86" t="s">
        <v>56</v>
      </c>
      <c r="F9" s="87">
        <v>4.0</v>
      </c>
      <c r="G9" s="88">
        <v>1.0</v>
      </c>
      <c r="H9" s="88"/>
      <c r="I9" s="88"/>
      <c r="J9" s="87"/>
      <c r="K9" s="88"/>
      <c r="L9" s="87"/>
      <c r="M9" s="89"/>
      <c r="N9" s="89"/>
      <c r="O9" s="89"/>
      <c r="P9" s="89"/>
      <c r="Q9" s="88"/>
      <c r="R9" s="90"/>
      <c r="S9" s="89"/>
      <c r="T9" s="89"/>
      <c r="U9" s="89"/>
      <c r="V9" s="89"/>
      <c r="W9" s="88"/>
      <c r="X9" s="89"/>
      <c r="Y9" s="89"/>
      <c r="Z9" s="89"/>
      <c r="AA9" s="89"/>
      <c r="AB9" s="89"/>
      <c r="AC9" s="89"/>
      <c r="AD9" s="89"/>
      <c r="AE9" s="90"/>
      <c r="AF9" s="89"/>
      <c r="AG9" s="90"/>
      <c r="AH9" s="89"/>
      <c r="AI9" s="89">
        <v>4.0</v>
      </c>
      <c r="AJ9" s="87">
        <v>2.0</v>
      </c>
      <c r="AK9" s="89">
        <v>2.0</v>
      </c>
      <c r="AL9" s="89">
        <v>3.0</v>
      </c>
      <c r="AM9" s="89"/>
      <c r="AN9" s="89"/>
      <c r="AO9" s="89"/>
      <c r="AP9" s="91"/>
      <c r="AQ9" s="92"/>
      <c r="AR9" s="89"/>
      <c r="AS9" s="89"/>
      <c r="AT9" s="89"/>
      <c r="AU9" s="89"/>
      <c r="AV9" s="91"/>
      <c r="AW9" s="92"/>
      <c r="AX9" s="89"/>
      <c r="AY9" s="89"/>
      <c r="AZ9" s="89"/>
      <c r="BA9" s="93"/>
      <c r="BB9" s="92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</row>
    <row r="10" ht="24.0" customHeight="1">
      <c r="A10" s="3"/>
      <c r="B10" s="95" t="s">
        <v>38</v>
      </c>
      <c r="C10" s="96" t="s">
        <v>39</v>
      </c>
      <c r="D10" s="96" t="s">
        <v>40</v>
      </c>
      <c r="E10" s="97" t="s">
        <v>41</v>
      </c>
      <c r="F10" s="78"/>
      <c r="G10" s="79"/>
      <c r="H10" s="79"/>
      <c r="I10" s="79"/>
      <c r="J10" s="78"/>
      <c r="K10" s="79"/>
      <c r="L10" s="78"/>
      <c r="M10" s="3"/>
      <c r="N10" s="3"/>
      <c r="O10" s="3"/>
      <c r="P10" s="3"/>
      <c r="Q10" s="79"/>
      <c r="R10" s="80"/>
      <c r="S10" s="3"/>
      <c r="T10" s="3"/>
      <c r="U10" s="3"/>
      <c r="V10" s="3"/>
      <c r="W10" s="79"/>
      <c r="X10" s="3"/>
      <c r="Y10" s="3"/>
      <c r="Z10" s="3"/>
      <c r="AA10" s="3"/>
      <c r="AB10" s="3"/>
      <c r="AC10" s="3"/>
      <c r="AD10" s="3"/>
      <c r="AE10" s="80"/>
      <c r="AF10" s="3"/>
      <c r="AG10" s="80"/>
      <c r="AH10" s="3"/>
      <c r="AI10" s="3"/>
      <c r="AJ10" s="78"/>
      <c r="AK10" s="3"/>
      <c r="AL10" s="3"/>
      <c r="AM10" s="3"/>
      <c r="AN10" s="3"/>
      <c r="AO10" s="3"/>
      <c r="AP10" s="81"/>
      <c r="AQ10" s="82"/>
      <c r="AR10" s="3"/>
      <c r="AS10" s="3"/>
      <c r="AT10" s="3"/>
      <c r="AU10" s="3"/>
      <c r="AV10" s="81"/>
      <c r="AW10" s="82"/>
      <c r="AX10" s="3"/>
      <c r="AY10" s="3"/>
      <c r="AZ10" s="3"/>
      <c r="BA10" s="81"/>
      <c r="BB10" s="82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 ht="34.5" customHeight="1">
      <c r="A11" s="62" t="s">
        <v>57</v>
      </c>
      <c r="B11" s="63" t="s">
        <v>58</v>
      </c>
      <c r="C11" s="64" t="s">
        <v>59</v>
      </c>
      <c r="D11" s="64" t="s">
        <v>60</v>
      </c>
      <c r="E11" s="65" t="s">
        <v>61</v>
      </c>
      <c r="F11" s="66">
        <v>4.0</v>
      </c>
      <c r="G11" s="67">
        <v>2.0</v>
      </c>
      <c r="H11" s="67"/>
      <c r="I11" s="67"/>
      <c r="J11" s="66"/>
      <c r="K11" s="67"/>
      <c r="L11" s="66"/>
      <c r="M11" s="69"/>
      <c r="N11" s="69"/>
      <c r="O11" s="69"/>
      <c r="P11" s="69"/>
      <c r="Q11" s="67"/>
      <c r="R11" s="70"/>
      <c r="S11" s="69"/>
      <c r="T11" s="69"/>
      <c r="U11" s="69"/>
      <c r="V11" s="69"/>
      <c r="W11" s="67"/>
      <c r="X11" s="69"/>
      <c r="Y11" s="69"/>
      <c r="Z11" s="69"/>
      <c r="AA11" s="69"/>
      <c r="AB11" s="69"/>
      <c r="AC11" s="69"/>
      <c r="AD11" s="69"/>
      <c r="AE11" s="70"/>
      <c r="AF11" s="69"/>
      <c r="AG11" s="70"/>
      <c r="AH11" s="69"/>
      <c r="AI11" s="69">
        <v>4.0</v>
      </c>
      <c r="AJ11" s="66">
        <v>2.0</v>
      </c>
      <c r="AK11" s="69">
        <v>3.0</v>
      </c>
      <c r="AL11" s="69">
        <v>2.0</v>
      </c>
      <c r="AM11" s="69"/>
      <c r="AN11" s="69"/>
      <c r="AO11" s="69"/>
      <c r="AP11" s="71"/>
      <c r="AQ11" s="72"/>
      <c r="AR11" s="69"/>
      <c r="AS11" s="69"/>
      <c r="AT11" s="69"/>
      <c r="AU11" s="69"/>
      <c r="AV11" s="71"/>
      <c r="AW11" s="72"/>
      <c r="AX11" s="69"/>
      <c r="AY11" s="69"/>
      <c r="AZ11" s="69"/>
      <c r="BA11" s="73"/>
      <c r="BB11" s="72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</row>
    <row r="12" ht="29.25" customHeight="1">
      <c r="A12" s="3"/>
      <c r="B12" s="75" t="s">
        <v>38</v>
      </c>
      <c r="C12" s="76" t="s">
        <v>39</v>
      </c>
      <c r="D12" s="76" t="s">
        <v>40</v>
      </c>
      <c r="E12" s="77" t="s">
        <v>41</v>
      </c>
      <c r="F12" s="78"/>
      <c r="G12" s="79"/>
      <c r="H12" s="79"/>
      <c r="I12" s="79"/>
      <c r="J12" s="78"/>
      <c r="K12" s="79"/>
      <c r="L12" s="78"/>
      <c r="M12" s="3"/>
      <c r="N12" s="3"/>
      <c r="O12" s="3"/>
      <c r="P12" s="3"/>
      <c r="Q12" s="79"/>
      <c r="R12" s="80"/>
      <c r="S12" s="3"/>
      <c r="T12" s="3"/>
      <c r="U12" s="3"/>
      <c r="V12" s="3"/>
      <c r="W12" s="79"/>
      <c r="X12" s="3"/>
      <c r="Y12" s="3"/>
      <c r="Z12" s="3"/>
      <c r="AA12" s="3"/>
      <c r="AB12" s="3"/>
      <c r="AC12" s="3"/>
      <c r="AD12" s="3"/>
      <c r="AE12" s="80"/>
      <c r="AF12" s="3"/>
      <c r="AG12" s="80"/>
      <c r="AH12" s="3"/>
      <c r="AI12" s="3"/>
      <c r="AJ12" s="78"/>
      <c r="AK12" s="3"/>
      <c r="AL12" s="3"/>
      <c r="AM12" s="3"/>
      <c r="AN12" s="3"/>
      <c r="AO12" s="3"/>
      <c r="AP12" s="81"/>
      <c r="AQ12" s="82"/>
      <c r="AR12" s="3"/>
      <c r="AS12" s="3"/>
      <c r="AT12" s="3"/>
      <c r="AU12" s="3"/>
      <c r="AV12" s="81"/>
      <c r="AW12" s="82"/>
      <c r="AX12" s="3"/>
      <c r="AY12" s="3"/>
      <c r="AZ12" s="3"/>
      <c r="BA12" s="81"/>
      <c r="BB12" s="82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</row>
    <row r="13" ht="45.75" customHeight="1">
      <c r="A13" s="83" t="s">
        <v>62</v>
      </c>
      <c r="B13" s="84" t="s">
        <v>63</v>
      </c>
      <c r="C13" s="85" t="s">
        <v>64</v>
      </c>
      <c r="D13" s="85" t="s">
        <v>65</v>
      </c>
      <c r="E13" s="86" t="s">
        <v>66</v>
      </c>
      <c r="F13" s="87">
        <v>4.0</v>
      </c>
      <c r="G13" s="88">
        <v>2.0</v>
      </c>
      <c r="H13" s="88"/>
      <c r="I13" s="88"/>
      <c r="J13" s="87"/>
      <c r="K13" s="88"/>
      <c r="L13" s="87"/>
      <c r="M13" s="89"/>
      <c r="N13" s="89"/>
      <c r="O13" s="89"/>
      <c r="P13" s="89"/>
      <c r="Q13" s="88"/>
      <c r="R13" s="90"/>
      <c r="S13" s="89"/>
      <c r="T13" s="89"/>
      <c r="U13" s="89"/>
      <c r="V13" s="89"/>
      <c r="W13" s="88"/>
      <c r="X13" s="89"/>
      <c r="Y13" s="89"/>
      <c r="Z13" s="89"/>
      <c r="AA13" s="89"/>
      <c r="AB13" s="89"/>
      <c r="AC13" s="89"/>
      <c r="AD13" s="89"/>
      <c r="AE13" s="90"/>
      <c r="AF13" s="89"/>
      <c r="AG13" s="90"/>
      <c r="AH13" s="89"/>
      <c r="AI13" s="89">
        <v>4.0</v>
      </c>
      <c r="AJ13" s="87">
        <v>2.0</v>
      </c>
      <c r="AK13" s="89">
        <v>3.0</v>
      </c>
      <c r="AL13" s="89">
        <v>2.0</v>
      </c>
      <c r="AM13" s="89"/>
      <c r="AN13" s="89"/>
      <c r="AO13" s="89"/>
      <c r="AP13" s="91"/>
      <c r="AQ13" s="92"/>
      <c r="AR13" s="89"/>
      <c r="AS13" s="89"/>
      <c r="AT13" s="89"/>
      <c r="AU13" s="89"/>
      <c r="AV13" s="91"/>
      <c r="AW13" s="92"/>
      <c r="AX13" s="89"/>
      <c r="AY13" s="89"/>
      <c r="AZ13" s="89"/>
      <c r="BA13" s="93"/>
      <c r="BB13" s="92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</row>
    <row r="14" ht="22.5" customHeight="1">
      <c r="A14" s="3"/>
      <c r="B14" s="95" t="s">
        <v>38</v>
      </c>
      <c r="C14" s="96" t="s">
        <v>39</v>
      </c>
      <c r="D14" s="96" t="s">
        <v>40</v>
      </c>
      <c r="E14" s="97" t="s">
        <v>41</v>
      </c>
      <c r="F14" s="78"/>
      <c r="G14" s="79"/>
      <c r="H14" s="79"/>
      <c r="I14" s="79"/>
      <c r="J14" s="78"/>
      <c r="K14" s="79"/>
      <c r="L14" s="78"/>
      <c r="M14" s="3"/>
      <c r="N14" s="3"/>
      <c r="O14" s="3"/>
      <c r="P14" s="3"/>
      <c r="Q14" s="79"/>
      <c r="R14" s="80"/>
      <c r="S14" s="3"/>
      <c r="T14" s="3"/>
      <c r="U14" s="3"/>
      <c r="V14" s="3"/>
      <c r="W14" s="79"/>
      <c r="X14" s="3"/>
      <c r="Y14" s="3"/>
      <c r="Z14" s="3"/>
      <c r="AA14" s="3"/>
      <c r="AB14" s="3"/>
      <c r="AC14" s="3"/>
      <c r="AD14" s="3"/>
      <c r="AE14" s="80"/>
      <c r="AF14" s="3"/>
      <c r="AG14" s="80"/>
      <c r="AH14" s="3"/>
      <c r="AI14" s="3"/>
      <c r="AJ14" s="78"/>
      <c r="AK14" s="3"/>
      <c r="AL14" s="3"/>
      <c r="AM14" s="3"/>
      <c r="AN14" s="3"/>
      <c r="AO14" s="3"/>
      <c r="AP14" s="81"/>
      <c r="AQ14" s="82"/>
      <c r="AR14" s="3"/>
      <c r="AS14" s="3"/>
      <c r="AT14" s="3"/>
      <c r="AU14" s="3"/>
      <c r="AV14" s="81"/>
      <c r="AW14" s="82"/>
      <c r="AX14" s="3"/>
      <c r="AY14" s="3"/>
      <c r="AZ14" s="3"/>
      <c r="BA14" s="81"/>
      <c r="BB14" s="82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ht="15.75" customHeight="1">
      <c r="A15" s="98" t="s">
        <v>67</v>
      </c>
      <c r="B15" s="63" t="s">
        <v>68</v>
      </c>
      <c r="C15" s="64" t="s">
        <v>69</v>
      </c>
      <c r="D15" s="64" t="s">
        <v>70</v>
      </c>
      <c r="E15" s="65" t="s">
        <v>71</v>
      </c>
      <c r="F15" s="66">
        <v>4.0</v>
      </c>
      <c r="G15" s="67">
        <v>2.0</v>
      </c>
      <c r="H15" s="67"/>
      <c r="I15" s="67"/>
      <c r="J15" s="66"/>
      <c r="K15" s="67"/>
      <c r="L15" s="66"/>
      <c r="M15" s="69"/>
      <c r="N15" s="69"/>
      <c r="O15" s="69"/>
      <c r="P15" s="69"/>
      <c r="Q15" s="67"/>
      <c r="R15" s="70"/>
      <c r="S15" s="69"/>
      <c r="T15" s="69"/>
      <c r="U15" s="69"/>
      <c r="V15" s="69"/>
      <c r="W15" s="67"/>
      <c r="X15" s="69"/>
      <c r="Y15" s="69"/>
      <c r="Z15" s="69"/>
      <c r="AA15" s="69"/>
      <c r="AB15" s="69"/>
      <c r="AC15" s="69"/>
      <c r="AD15" s="69"/>
      <c r="AE15" s="70"/>
      <c r="AF15" s="69"/>
      <c r="AG15" s="70"/>
      <c r="AH15" s="69"/>
      <c r="AI15" s="69">
        <v>4.0</v>
      </c>
      <c r="AJ15" s="66">
        <v>3.0</v>
      </c>
      <c r="AK15" s="69">
        <v>3.0</v>
      </c>
      <c r="AL15" s="69">
        <v>3.0</v>
      </c>
      <c r="AM15" s="69"/>
      <c r="AN15" s="69"/>
      <c r="AO15" s="69"/>
      <c r="AP15" s="71"/>
      <c r="AQ15" s="72"/>
      <c r="AR15" s="69"/>
      <c r="AS15" s="69"/>
      <c r="AT15" s="69"/>
      <c r="AU15" s="69"/>
      <c r="AV15" s="71"/>
      <c r="AW15" s="72"/>
      <c r="AX15" s="69"/>
      <c r="AY15" s="69"/>
      <c r="AZ15" s="69"/>
      <c r="BA15" s="73"/>
      <c r="BB15" s="72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</row>
    <row r="16" ht="15.75" customHeight="1">
      <c r="A16" s="76"/>
      <c r="B16" s="75" t="s">
        <v>38</v>
      </c>
      <c r="C16" s="76" t="s">
        <v>39</v>
      </c>
      <c r="D16" s="76" t="s">
        <v>40</v>
      </c>
      <c r="E16" s="77" t="s">
        <v>41</v>
      </c>
      <c r="F16" s="78"/>
      <c r="G16" s="79"/>
      <c r="H16" s="79"/>
      <c r="I16" s="79"/>
      <c r="J16" s="78"/>
      <c r="K16" s="79"/>
      <c r="L16" s="78"/>
      <c r="M16" s="3"/>
      <c r="N16" s="3"/>
      <c r="O16" s="3"/>
      <c r="P16" s="3"/>
      <c r="Q16" s="79"/>
      <c r="R16" s="80"/>
      <c r="S16" s="3"/>
      <c r="T16" s="3"/>
      <c r="U16" s="3"/>
      <c r="V16" s="3"/>
      <c r="W16" s="79"/>
      <c r="X16" s="3"/>
      <c r="Y16" s="3"/>
      <c r="Z16" s="3"/>
      <c r="AA16" s="3"/>
      <c r="AB16" s="3"/>
      <c r="AC16" s="3"/>
      <c r="AD16" s="3"/>
      <c r="AE16" s="80"/>
      <c r="AF16" s="3"/>
      <c r="AG16" s="80"/>
      <c r="AH16" s="3"/>
      <c r="AI16" s="3"/>
      <c r="AJ16" s="78"/>
      <c r="AK16" s="3"/>
      <c r="AL16" s="3"/>
      <c r="AM16" s="3"/>
      <c r="AN16" s="3"/>
      <c r="AO16" s="3"/>
      <c r="AP16" s="81"/>
      <c r="AQ16" s="82"/>
      <c r="AR16" s="3"/>
      <c r="AS16" s="3"/>
      <c r="AT16" s="3"/>
      <c r="AU16" s="3"/>
      <c r="AV16" s="81"/>
      <c r="AW16" s="82"/>
      <c r="AX16" s="3"/>
      <c r="AY16" s="3"/>
      <c r="AZ16" s="3"/>
      <c r="BA16" s="81"/>
      <c r="BB16" s="82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ht="36.0" customHeight="1">
      <c r="A17" s="99" t="s">
        <v>4</v>
      </c>
      <c r="B17" s="100"/>
      <c r="C17" s="100"/>
      <c r="D17" s="100"/>
      <c r="E17" s="101">
        <v>28.0</v>
      </c>
      <c r="F17" s="102">
        <f t="shared" ref="F17:AB17" si="1">SUM(F3:F16)/($E$17)*10</f>
        <v>10</v>
      </c>
      <c r="G17" s="103">
        <f t="shared" si="1"/>
        <v>3.928571429</v>
      </c>
      <c r="H17" s="103">
        <f t="shared" si="1"/>
        <v>0</v>
      </c>
      <c r="I17" s="104">
        <f t="shared" si="1"/>
        <v>0</v>
      </c>
      <c r="J17" s="102">
        <f t="shared" si="1"/>
        <v>0</v>
      </c>
      <c r="K17" s="104">
        <f t="shared" si="1"/>
        <v>0</v>
      </c>
      <c r="L17" s="102">
        <f t="shared" si="1"/>
        <v>0</v>
      </c>
      <c r="M17" s="103">
        <f t="shared" si="1"/>
        <v>0</v>
      </c>
      <c r="N17" s="103">
        <f t="shared" si="1"/>
        <v>0</v>
      </c>
      <c r="O17" s="103">
        <f t="shared" si="1"/>
        <v>0</v>
      </c>
      <c r="P17" s="103">
        <f t="shared" si="1"/>
        <v>0</v>
      </c>
      <c r="Q17" s="104">
        <f t="shared" si="1"/>
        <v>0</v>
      </c>
      <c r="R17" s="102">
        <f t="shared" si="1"/>
        <v>0</v>
      </c>
      <c r="S17" s="103">
        <f t="shared" si="1"/>
        <v>0</v>
      </c>
      <c r="T17" s="103">
        <f t="shared" si="1"/>
        <v>0</v>
      </c>
      <c r="U17" s="103">
        <f t="shared" si="1"/>
        <v>0</v>
      </c>
      <c r="V17" s="103">
        <f t="shared" si="1"/>
        <v>0</v>
      </c>
      <c r="W17" s="104">
        <f t="shared" si="1"/>
        <v>0</v>
      </c>
      <c r="X17" s="103">
        <f t="shared" si="1"/>
        <v>0</v>
      </c>
      <c r="Y17" s="103">
        <f t="shared" si="1"/>
        <v>0</v>
      </c>
      <c r="Z17" s="103">
        <f t="shared" si="1"/>
        <v>0</v>
      </c>
      <c r="AA17" s="103">
        <f t="shared" si="1"/>
        <v>0</v>
      </c>
      <c r="AB17" s="103">
        <f t="shared" si="1"/>
        <v>0</v>
      </c>
      <c r="AC17" s="103"/>
      <c r="AD17" s="103"/>
      <c r="AE17" s="102"/>
      <c r="AF17" s="103"/>
      <c r="AG17" s="103"/>
      <c r="AH17" s="103"/>
      <c r="AI17" s="103">
        <f t="shared" ref="AI17:BD17" si="2">SUM(AI3:AI16)/($E$17)*10</f>
        <v>9.285714286</v>
      </c>
      <c r="AJ17" s="104">
        <f t="shared" si="2"/>
        <v>6.071428571</v>
      </c>
      <c r="AK17" s="102">
        <f t="shared" si="2"/>
        <v>6.428571429</v>
      </c>
      <c r="AL17" s="103">
        <f t="shared" si="2"/>
        <v>5.714285714</v>
      </c>
      <c r="AM17" s="103">
        <f t="shared" si="2"/>
        <v>0</v>
      </c>
      <c r="AN17" s="103">
        <f t="shared" si="2"/>
        <v>0</v>
      </c>
      <c r="AO17" s="103">
        <f t="shared" si="2"/>
        <v>0</v>
      </c>
      <c r="AP17" s="105">
        <f t="shared" si="2"/>
        <v>0</v>
      </c>
      <c r="AQ17" s="106">
        <f t="shared" si="2"/>
        <v>0</v>
      </c>
      <c r="AR17" s="103">
        <f t="shared" si="2"/>
        <v>0</v>
      </c>
      <c r="AS17" s="103">
        <f t="shared" si="2"/>
        <v>0</v>
      </c>
      <c r="AT17" s="103">
        <f t="shared" si="2"/>
        <v>0</v>
      </c>
      <c r="AU17" s="103">
        <f t="shared" si="2"/>
        <v>0</v>
      </c>
      <c r="AV17" s="105">
        <f t="shared" si="2"/>
        <v>0</v>
      </c>
      <c r="AW17" s="106">
        <f t="shared" si="2"/>
        <v>0</v>
      </c>
      <c r="AX17" s="103">
        <f t="shared" si="2"/>
        <v>0</v>
      </c>
      <c r="AY17" s="103">
        <f t="shared" si="2"/>
        <v>0</v>
      </c>
      <c r="AZ17" s="103">
        <f t="shared" si="2"/>
        <v>0</v>
      </c>
      <c r="BA17" s="105">
        <f t="shared" si="2"/>
        <v>0</v>
      </c>
      <c r="BB17" s="106">
        <f t="shared" si="2"/>
        <v>0</v>
      </c>
      <c r="BC17" s="103">
        <f t="shared" si="2"/>
        <v>0</v>
      </c>
      <c r="BD17" s="103">
        <f t="shared" si="2"/>
        <v>0</v>
      </c>
      <c r="BE17" s="103">
        <f t="shared" ref="BE17:BG17" si="3">SUM(BE3:BE16)/($E$17-4)*10</f>
        <v>0</v>
      </c>
      <c r="BF17" s="103">
        <f t="shared" si="3"/>
        <v>0</v>
      </c>
      <c r="BG17" s="103">
        <f t="shared" si="3"/>
        <v>0</v>
      </c>
      <c r="BH17" s="103">
        <f t="shared" ref="BH17:BX17" si="4">SUM(BH3:BH16)/$E$17*10</f>
        <v>0</v>
      </c>
      <c r="BI17" s="103">
        <f t="shared" si="4"/>
        <v>0</v>
      </c>
      <c r="BJ17" s="103">
        <f t="shared" si="4"/>
        <v>0</v>
      </c>
      <c r="BK17" s="103">
        <f t="shared" si="4"/>
        <v>0</v>
      </c>
      <c r="BL17" s="103">
        <f t="shared" si="4"/>
        <v>0</v>
      </c>
      <c r="BM17" s="103">
        <f t="shared" si="4"/>
        <v>0</v>
      </c>
      <c r="BN17" s="103">
        <f t="shared" si="4"/>
        <v>0</v>
      </c>
      <c r="BO17" s="103">
        <f t="shared" si="4"/>
        <v>0</v>
      </c>
      <c r="BP17" s="103">
        <f t="shared" si="4"/>
        <v>0</v>
      </c>
      <c r="BQ17" s="103">
        <f t="shared" si="4"/>
        <v>0</v>
      </c>
      <c r="BR17" s="103">
        <f t="shared" si="4"/>
        <v>0</v>
      </c>
      <c r="BS17" s="103">
        <f t="shared" si="4"/>
        <v>0</v>
      </c>
      <c r="BT17" s="103">
        <f t="shared" si="4"/>
        <v>0</v>
      </c>
      <c r="BU17" s="103">
        <f t="shared" si="4"/>
        <v>0</v>
      </c>
      <c r="BV17" s="103">
        <f t="shared" si="4"/>
        <v>0</v>
      </c>
      <c r="BW17" s="103">
        <f t="shared" si="4"/>
        <v>0</v>
      </c>
      <c r="BX17" s="103">
        <f t="shared" si="4"/>
        <v>0</v>
      </c>
    </row>
    <row r="18" ht="15.75" customHeight="1">
      <c r="A18" s="107"/>
      <c r="B18" s="107"/>
      <c r="C18" s="107"/>
      <c r="D18" s="107"/>
      <c r="E18" s="107"/>
    </row>
    <row r="19" ht="15.75" customHeight="1">
      <c r="A19" s="107"/>
      <c r="B19" s="107"/>
      <c r="C19" s="107"/>
      <c r="D19" s="107"/>
      <c r="E19" s="107"/>
    </row>
    <row r="20" ht="15.75" customHeight="1">
      <c r="A20" s="107"/>
      <c r="B20" s="107"/>
      <c r="C20" s="107"/>
      <c r="D20" s="107"/>
      <c r="E20" s="107"/>
    </row>
    <row r="21" ht="15.75" customHeight="1">
      <c r="A21" s="107"/>
      <c r="B21" s="107"/>
      <c r="C21" s="107"/>
      <c r="D21" s="107"/>
      <c r="E21" s="107"/>
    </row>
    <row r="22" ht="15.75" customHeight="1">
      <c r="A22" s="107"/>
      <c r="B22" s="107"/>
      <c r="C22" s="107"/>
      <c r="D22" s="107"/>
      <c r="E22" s="107"/>
    </row>
    <row r="23" ht="15.75" customHeight="1">
      <c r="A23" s="107"/>
      <c r="B23" s="107"/>
      <c r="C23" s="108"/>
      <c r="D23" s="108"/>
      <c r="E23" s="107"/>
    </row>
    <row r="24" ht="15.75" customHeight="1">
      <c r="A24" s="107"/>
      <c r="B24" s="107"/>
      <c r="C24" s="108"/>
      <c r="D24" s="108"/>
      <c r="E24" s="107"/>
    </row>
    <row r="25" ht="15.75" customHeight="1">
      <c r="A25" s="107"/>
      <c r="B25" s="107"/>
      <c r="C25" s="108"/>
      <c r="D25" s="108"/>
      <c r="E25" s="107"/>
    </row>
    <row r="26" ht="15.75" customHeight="1">
      <c r="A26" s="107"/>
      <c r="B26" s="107"/>
      <c r="C26" s="108"/>
      <c r="D26" s="108"/>
      <c r="E26" s="107"/>
    </row>
    <row r="27" ht="15.75" customHeight="1">
      <c r="A27" s="107"/>
      <c r="B27" s="107"/>
      <c r="C27" s="108"/>
      <c r="D27" s="108"/>
      <c r="E27" s="107"/>
    </row>
    <row r="28" ht="15.75" customHeight="1">
      <c r="A28" s="107"/>
      <c r="B28" s="107"/>
      <c r="C28" s="108"/>
      <c r="D28" s="108"/>
      <c r="E28" s="107"/>
    </row>
    <row r="29" ht="15.75" customHeight="1">
      <c r="A29" s="107"/>
      <c r="B29" s="107"/>
      <c r="C29" s="107"/>
      <c r="D29" s="107"/>
      <c r="E29" s="107"/>
    </row>
    <row r="30" ht="15.75" customHeight="1">
      <c r="A30" s="107"/>
      <c r="B30" s="107"/>
      <c r="C30" s="107"/>
      <c r="D30" s="107"/>
      <c r="E30" s="107"/>
    </row>
    <row r="31" ht="15.75" customHeight="1">
      <c r="A31" s="107"/>
      <c r="B31" s="107"/>
      <c r="C31" s="107"/>
      <c r="D31" s="107"/>
      <c r="E31" s="107"/>
    </row>
    <row r="32" ht="15.75" customHeight="1">
      <c r="A32" s="107"/>
      <c r="B32" s="107"/>
      <c r="C32" s="107"/>
      <c r="D32" s="107"/>
      <c r="E32" s="107"/>
    </row>
    <row r="33" ht="15.75" customHeight="1">
      <c r="A33" s="107"/>
      <c r="B33" s="107"/>
      <c r="C33" s="107"/>
      <c r="D33" s="107"/>
      <c r="E33" s="107"/>
    </row>
    <row r="34" ht="15.75" customHeight="1">
      <c r="A34" s="107"/>
      <c r="B34" s="107"/>
      <c r="C34" s="107"/>
      <c r="D34" s="107"/>
      <c r="E34" s="107"/>
    </row>
    <row r="35" ht="15.75" customHeight="1">
      <c r="A35" s="107"/>
      <c r="B35" s="107"/>
      <c r="C35" s="107"/>
      <c r="D35" s="107"/>
      <c r="E35" s="107"/>
    </row>
    <row r="36" ht="15.75" customHeight="1">
      <c r="A36" s="107"/>
      <c r="B36" s="107"/>
      <c r="C36" s="107"/>
      <c r="D36" s="107"/>
      <c r="E36" s="107"/>
    </row>
    <row r="37" ht="15.75" customHeight="1">
      <c r="A37" s="107"/>
      <c r="B37" s="107"/>
      <c r="C37" s="107"/>
      <c r="D37" s="107"/>
      <c r="E37" s="107"/>
    </row>
    <row r="38" ht="15.75" customHeight="1">
      <c r="A38" s="107"/>
      <c r="B38" s="107"/>
      <c r="C38" s="107"/>
      <c r="D38" s="107"/>
      <c r="E38" s="107"/>
    </row>
    <row r="39" ht="15.75" customHeight="1">
      <c r="A39" s="107"/>
      <c r="B39" s="107"/>
      <c r="C39" s="107"/>
      <c r="D39" s="107"/>
      <c r="E39" s="107"/>
    </row>
    <row r="40" ht="15.75" customHeight="1">
      <c r="A40" s="107"/>
      <c r="B40" s="107"/>
      <c r="C40" s="107"/>
      <c r="D40" s="107"/>
      <c r="E40" s="107"/>
    </row>
    <row r="41" ht="15.75" customHeight="1">
      <c r="A41" s="107"/>
      <c r="B41" s="107"/>
      <c r="C41" s="107"/>
      <c r="D41" s="107"/>
      <c r="E41" s="107"/>
    </row>
    <row r="42" ht="15.75" customHeight="1">
      <c r="A42" s="107"/>
      <c r="B42" s="107"/>
      <c r="C42" s="107"/>
      <c r="D42" s="107"/>
      <c r="E42" s="107"/>
    </row>
    <row r="43" ht="15.75" customHeight="1">
      <c r="A43" s="107"/>
      <c r="B43" s="107"/>
      <c r="C43" s="107"/>
      <c r="D43" s="107"/>
      <c r="E43" s="107"/>
    </row>
    <row r="44" ht="15.75" customHeight="1">
      <c r="A44" s="107"/>
      <c r="B44" s="107"/>
      <c r="C44" s="107"/>
      <c r="D44" s="107"/>
      <c r="E44" s="107"/>
    </row>
    <row r="45" ht="15.75" customHeight="1">
      <c r="A45" s="107"/>
      <c r="B45" s="107"/>
      <c r="C45" s="107"/>
      <c r="D45" s="107"/>
      <c r="E45" s="107"/>
    </row>
    <row r="46" ht="15.75" customHeight="1">
      <c r="A46" s="107"/>
      <c r="B46" s="107"/>
      <c r="C46" s="107"/>
      <c r="D46" s="107"/>
      <c r="E46" s="107"/>
    </row>
    <row r="47" ht="15.75" customHeight="1">
      <c r="A47" s="107"/>
      <c r="B47" s="107"/>
      <c r="C47" s="107"/>
      <c r="D47" s="107"/>
      <c r="E47" s="107"/>
    </row>
    <row r="48" ht="15.75" customHeight="1">
      <c r="A48" s="107"/>
      <c r="B48" s="107"/>
      <c r="C48" s="107"/>
      <c r="D48" s="107"/>
      <c r="E48" s="107"/>
    </row>
    <row r="49" ht="15.75" customHeight="1">
      <c r="A49" s="107"/>
      <c r="B49" s="107"/>
      <c r="C49" s="107"/>
      <c r="D49" s="107"/>
      <c r="E49" s="107"/>
    </row>
    <row r="50" ht="15.75" customHeight="1">
      <c r="A50" s="107"/>
      <c r="B50" s="107"/>
      <c r="C50" s="107"/>
      <c r="D50" s="107"/>
      <c r="E50" s="107"/>
    </row>
    <row r="51" ht="15.75" customHeight="1">
      <c r="A51" s="107"/>
      <c r="B51" s="107"/>
      <c r="C51" s="107"/>
      <c r="D51" s="107"/>
      <c r="E51" s="107"/>
    </row>
    <row r="52" ht="15.75" customHeight="1">
      <c r="A52" s="107"/>
      <c r="B52" s="107"/>
      <c r="C52" s="107"/>
      <c r="D52" s="107"/>
      <c r="E52" s="107"/>
    </row>
    <row r="53" ht="15.75" customHeight="1">
      <c r="A53" s="107"/>
      <c r="B53" s="107"/>
      <c r="C53" s="107"/>
      <c r="D53" s="107"/>
      <c r="E53" s="107"/>
    </row>
    <row r="54" ht="15.75" customHeight="1">
      <c r="A54" s="107"/>
      <c r="B54" s="107"/>
      <c r="C54" s="107"/>
      <c r="D54" s="107"/>
      <c r="E54" s="107"/>
    </row>
    <row r="55" ht="15.75" customHeight="1">
      <c r="A55" s="107"/>
      <c r="B55" s="107"/>
      <c r="C55" s="107"/>
      <c r="D55" s="107"/>
      <c r="E55" s="107"/>
    </row>
    <row r="56" ht="15.75" customHeight="1">
      <c r="A56" s="107"/>
      <c r="B56" s="107"/>
      <c r="C56" s="107"/>
      <c r="D56" s="107"/>
      <c r="E56" s="107"/>
    </row>
    <row r="57" ht="15.75" customHeight="1">
      <c r="A57" s="107"/>
      <c r="B57" s="107"/>
      <c r="C57" s="107"/>
      <c r="D57" s="107"/>
      <c r="E57" s="107"/>
    </row>
    <row r="58" ht="15.75" customHeight="1">
      <c r="A58" s="107"/>
      <c r="B58" s="107"/>
      <c r="C58" s="107"/>
      <c r="D58" s="107"/>
      <c r="E58" s="107"/>
    </row>
    <row r="59" ht="15.75" customHeight="1">
      <c r="A59" s="107"/>
      <c r="B59" s="107"/>
      <c r="C59" s="107"/>
      <c r="D59" s="107"/>
      <c r="E59" s="107"/>
    </row>
    <row r="60" ht="15.75" customHeight="1">
      <c r="A60" s="107"/>
      <c r="B60" s="107"/>
      <c r="C60" s="107"/>
      <c r="D60" s="107"/>
      <c r="E60" s="107"/>
    </row>
    <row r="61" ht="15.75" customHeight="1">
      <c r="A61" s="107"/>
      <c r="B61" s="107"/>
      <c r="C61" s="107"/>
      <c r="D61" s="107"/>
      <c r="E61" s="107"/>
    </row>
    <row r="62" ht="15.75" customHeight="1">
      <c r="A62" s="107"/>
      <c r="B62" s="107"/>
      <c r="C62" s="107"/>
      <c r="D62" s="107"/>
      <c r="E62" s="107"/>
    </row>
    <row r="63" ht="15.75" customHeight="1">
      <c r="A63" s="107"/>
      <c r="B63" s="107"/>
      <c r="C63" s="107"/>
      <c r="D63" s="107"/>
      <c r="E63" s="107"/>
    </row>
    <row r="64" ht="15.75" customHeight="1">
      <c r="A64" s="107"/>
      <c r="B64" s="107"/>
      <c r="C64" s="107"/>
      <c r="D64" s="107"/>
      <c r="E64" s="107"/>
    </row>
    <row r="65" ht="15.75" customHeight="1">
      <c r="A65" s="107"/>
      <c r="B65" s="107"/>
      <c r="C65" s="107"/>
      <c r="D65" s="107"/>
      <c r="E65" s="107"/>
    </row>
    <row r="66" ht="15.75" customHeight="1">
      <c r="A66" s="107"/>
      <c r="B66" s="107"/>
      <c r="C66" s="107"/>
      <c r="D66" s="107"/>
      <c r="E66" s="107"/>
    </row>
    <row r="67" ht="15.75" customHeight="1">
      <c r="A67" s="107"/>
      <c r="B67" s="107"/>
      <c r="C67" s="107"/>
      <c r="D67" s="107"/>
      <c r="E67" s="107"/>
    </row>
    <row r="68" ht="15.75" customHeight="1">
      <c r="A68" s="107"/>
      <c r="B68" s="107"/>
      <c r="C68" s="107"/>
      <c r="D68" s="107"/>
      <c r="E68" s="107"/>
    </row>
    <row r="69" ht="15.75" customHeight="1">
      <c r="A69" s="107"/>
      <c r="B69" s="107"/>
      <c r="C69" s="107"/>
      <c r="D69" s="107"/>
      <c r="E69" s="107"/>
    </row>
    <row r="70" ht="15.75" customHeight="1">
      <c r="A70" s="107"/>
      <c r="B70" s="107"/>
      <c r="C70" s="107"/>
      <c r="D70" s="107"/>
      <c r="E70" s="107"/>
    </row>
    <row r="71" ht="15.75" customHeight="1">
      <c r="A71" s="107"/>
      <c r="B71" s="107"/>
      <c r="C71" s="107"/>
      <c r="D71" s="107"/>
      <c r="E71" s="107"/>
    </row>
    <row r="72" ht="15.75" customHeight="1">
      <c r="A72" s="107"/>
      <c r="B72" s="107"/>
      <c r="C72" s="107"/>
      <c r="D72" s="107"/>
      <c r="E72" s="107"/>
    </row>
    <row r="73" ht="15.75" customHeight="1">
      <c r="A73" s="107"/>
      <c r="B73" s="107"/>
      <c r="C73" s="107"/>
      <c r="D73" s="107"/>
      <c r="E73" s="107"/>
    </row>
    <row r="74" ht="15.75" customHeight="1">
      <c r="A74" s="107"/>
      <c r="B74" s="107"/>
      <c r="C74" s="107"/>
      <c r="D74" s="107"/>
      <c r="E74" s="107"/>
    </row>
    <row r="75" ht="15.75" customHeight="1">
      <c r="A75" s="107"/>
      <c r="B75" s="107"/>
      <c r="C75" s="107"/>
      <c r="D75" s="107"/>
      <c r="E75" s="107"/>
    </row>
    <row r="76" ht="15.75" customHeight="1">
      <c r="A76" s="107"/>
      <c r="B76" s="107"/>
      <c r="C76" s="107"/>
      <c r="D76" s="107"/>
      <c r="E76" s="107"/>
    </row>
    <row r="77" ht="15.75" customHeight="1">
      <c r="A77" s="107"/>
      <c r="B77" s="107"/>
      <c r="C77" s="107"/>
      <c r="D77" s="107"/>
      <c r="E77" s="107"/>
    </row>
    <row r="78" ht="15.75" customHeight="1">
      <c r="A78" s="107"/>
      <c r="B78" s="107"/>
      <c r="C78" s="107"/>
      <c r="D78" s="107"/>
      <c r="E78" s="107"/>
    </row>
    <row r="79" ht="15.75" customHeight="1">
      <c r="A79" s="107"/>
      <c r="B79" s="107"/>
      <c r="C79" s="107"/>
      <c r="D79" s="107"/>
      <c r="E79" s="107"/>
    </row>
    <row r="80" ht="15.75" customHeight="1">
      <c r="A80" s="107"/>
      <c r="B80" s="107"/>
      <c r="C80" s="107"/>
      <c r="D80" s="107"/>
      <c r="E80" s="107"/>
    </row>
    <row r="81" ht="15.75" customHeight="1">
      <c r="A81" s="107"/>
      <c r="B81" s="107"/>
      <c r="C81" s="107"/>
      <c r="D81" s="107"/>
      <c r="E81" s="107"/>
    </row>
    <row r="82" ht="15.75" customHeight="1">
      <c r="A82" s="107"/>
      <c r="B82" s="107"/>
      <c r="C82" s="107"/>
      <c r="D82" s="107"/>
      <c r="E82" s="107"/>
    </row>
    <row r="83" ht="15.75" customHeight="1">
      <c r="A83" s="107"/>
      <c r="B83" s="107"/>
      <c r="C83" s="107"/>
      <c r="D83" s="107"/>
      <c r="E83" s="107"/>
    </row>
    <row r="84" ht="15.75" customHeight="1">
      <c r="A84" s="107"/>
      <c r="B84" s="107"/>
      <c r="C84" s="107"/>
      <c r="D84" s="107"/>
      <c r="E84" s="107"/>
    </row>
    <row r="85" ht="15.75" customHeight="1">
      <c r="A85" s="107"/>
      <c r="B85" s="107"/>
      <c r="C85" s="107"/>
      <c r="D85" s="107"/>
      <c r="E85" s="107"/>
    </row>
    <row r="86" ht="15.75" customHeight="1">
      <c r="A86" s="107"/>
      <c r="B86" s="107"/>
      <c r="C86" s="107"/>
      <c r="D86" s="107"/>
      <c r="E86" s="107"/>
    </row>
    <row r="87" ht="15.75" customHeight="1">
      <c r="A87" s="107"/>
      <c r="B87" s="107"/>
      <c r="C87" s="107"/>
      <c r="D87" s="107"/>
      <c r="E87" s="107"/>
    </row>
    <row r="88" ht="15.75" customHeight="1">
      <c r="A88" s="107"/>
      <c r="B88" s="107"/>
      <c r="C88" s="107"/>
      <c r="D88" s="107"/>
      <c r="E88" s="107"/>
    </row>
    <row r="89" ht="15.75" customHeight="1">
      <c r="A89" s="107"/>
      <c r="B89" s="107"/>
      <c r="C89" s="107"/>
      <c r="D89" s="107"/>
      <c r="E89" s="107"/>
    </row>
    <row r="90" ht="15.75" customHeight="1">
      <c r="A90" s="107"/>
      <c r="B90" s="107"/>
      <c r="C90" s="107"/>
      <c r="D90" s="107"/>
      <c r="E90" s="107"/>
    </row>
    <row r="91" ht="15.75" customHeight="1">
      <c r="A91" s="107"/>
      <c r="B91" s="107"/>
      <c r="C91" s="107"/>
      <c r="D91" s="107"/>
      <c r="E91" s="107"/>
    </row>
    <row r="92" ht="15.75" customHeight="1">
      <c r="A92" s="107"/>
      <c r="B92" s="107"/>
      <c r="C92" s="107"/>
      <c r="D92" s="107"/>
      <c r="E92" s="107"/>
    </row>
    <row r="93" ht="15.75" customHeight="1">
      <c r="A93" s="107"/>
      <c r="B93" s="107"/>
      <c r="C93" s="107"/>
      <c r="D93" s="107"/>
      <c r="E93" s="107"/>
    </row>
    <row r="94" ht="15.75" customHeight="1">
      <c r="A94" s="107"/>
      <c r="B94" s="107"/>
      <c r="C94" s="107"/>
      <c r="D94" s="107"/>
      <c r="E94" s="107"/>
    </row>
    <row r="95" ht="15.75" customHeight="1">
      <c r="A95" s="107"/>
      <c r="B95" s="107"/>
      <c r="C95" s="107"/>
      <c r="D95" s="107"/>
      <c r="E95" s="107"/>
    </row>
    <row r="96" ht="15.75" customHeight="1">
      <c r="A96" s="107"/>
      <c r="B96" s="107"/>
      <c r="C96" s="107"/>
      <c r="D96" s="107"/>
      <c r="E96" s="107"/>
    </row>
    <row r="97" ht="15.75" customHeight="1">
      <c r="A97" s="107"/>
      <c r="B97" s="107"/>
      <c r="C97" s="107"/>
      <c r="D97" s="107"/>
      <c r="E97" s="107"/>
    </row>
    <row r="98" ht="15.75" customHeight="1">
      <c r="A98" s="107"/>
      <c r="B98" s="107"/>
      <c r="C98" s="107"/>
      <c r="D98" s="107"/>
      <c r="E98" s="107"/>
    </row>
    <row r="99" ht="15.75" customHeight="1">
      <c r="A99" s="107"/>
      <c r="B99" s="107"/>
      <c r="C99" s="107"/>
      <c r="D99" s="107"/>
      <c r="E99" s="107"/>
    </row>
    <row r="100" ht="15.75" customHeight="1">
      <c r="A100" s="107"/>
      <c r="B100" s="107"/>
      <c r="C100" s="107"/>
      <c r="D100" s="107"/>
      <c r="E100" s="107"/>
    </row>
    <row r="101" ht="15.75" customHeight="1">
      <c r="A101" s="107"/>
      <c r="B101" s="107"/>
      <c r="C101" s="107"/>
      <c r="D101" s="107"/>
      <c r="E101" s="107"/>
    </row>
    <row r="102" ht="15.75" customHeight="1">
      <c r="A102" s="107"/>
      <c r="B102" s="107"/>
      <c r="C102" s="107"/>
      <c r="D102" s="107"/>
      <c r="E102" s="107"/>
    </row>
    <row r="103" ht="15.75" customHeight="1">
      <c r="A103" s="107"/>
      <c r="B103" s="107"/>
      <c r="C103" s="107"/>
      <c r="D103" s="107"/>
      <c r="E103" s="107"/>
    </row>
    <row r="104" ht="15.75" customHeight="1">
      <c r="A104" s="107"/>
      <c r="B104" s="107"/>
      <c r="C104" s="107"/>
      <c r="D104" s="107"/>
      <c r="E104" s="107"/>
    </row>
    <row r="105" ht="15.75" customHeight="1">
      <c r="A105" s="107"/>
      <c r="B105" s="107"/>
      <c r="C105" s="107"/>
      <c r="D105" s="107"/>
      <c r="E105" s="107"/>
    </row>
    <row r="106" ht="15.75" customHeight="1">
      <c r="A106" s="107"/>
      <c r="B106" s="107"/>
      <c r="C106" s="107"/>
      <c r="D106" s="107"/>
      <c r="E106" s="107"/>
    </row>
    <row r="107" ht="15.75" customHeight="1">
      <c r="A107" s="107"/>
      <c r="B107" s="107"/>
      <c r="C107" s="107"/>
      <c r="D107" s="107"/>
      <c r="E107" s="107"/>
    </row>
    <row r="108" ht="15.75" customHeight="1">
      <c r="A108" s="107"/>
      <c r="B108" s="107"/>
      <c r="C108" s="107"/>
      <c r="D108" s="107"/>
      <c r="E108" s="107"/>
    </row>
    <row r="109" ht="15.75" customHeight="1">
      <c r="A109" s="107"/>
      <c r="B109" s="107"/>
      <c r="C109" s="107"/>
      <c r="D109" s="107"/>
      <c r="E109" s="107"/>
    </row>
    <row r="110" ht="15.75" customHeight="1">
      <c r="A110" s="107"/>
      <c r="B110" s="107"/>
      <c r="C110" s="107"/>
      <c r="D110" s="107"/>
      <c r="E110" s="107"/>
    </row>
    <row r="111" ht="15.75" customHeight="1">
      <c r="A111" s="107"/>
      <c r="B111" s="107"/>
      <c r="C111" s="107"/>
      <c r="D111" s="107"/>
      <c r="E111" s="107"/>
    </row>
    <row r="112" ht="15.75" customHeight="1">
      <c r="A112" s="107"/>
      <c r="B112" s="107"/>
      <c r="C112" s="107"/>
      <c r="D112" s="107"/>
      <c r="E112" s="107"/>
    </row>
    <row r="113" ht="15.75" customHeight="1">
      <c r="A113" s="107"/>
      <c r="B113" s="107"/>
      <c r="C113" s="107"/>
      <c r="D113" s="107"/>
      <c r="E113" s="107"/>
    </row>
    <row r="114" ht="15.75" customHeight="1">
      <c r="A114" s="107"/>
      <c r="B114" s="107"/>
      <c r="C114" s="107"/>
      <c r="D114" s="107"/>
      <c r="E114" s="107"/>
    </row>
    <row r="115" ht="15.75" customHeight="1">
      <c r="A115" s="107"/>
      <c r="B115" s="107"/>
      <c r="C115" s="107"/>
      <c r="D115" s="107"/>
      <c r="E115" s="107"/>
    </row>
    <row r="116" ht="15.75" customHeight="1">
      <c r="A116" s="107"/>
      <c r="B116" s="107"/>
      <c r="C116" s="107"/>
      <c r="D116" s="107"/>
      <c r="E116" s="107"/>
    </row>
    <row r="117" ht="15.75" customHeight="1">
      <c r="A117" s="107"/>
      <c r="B117" s="107"/>
      <c r="C117" s="107"/>
      <c r="D117" s="107"/>
      <c r="E117" s="107"/>
    </row>
    <row r="118" ht="15.75" customHeight="1">
      <c r="A118" s="107"/>
      <c r="B118" s="107"/>
      <c r="C118" s="107"/>
      <c r="D118" s="107"/>
      <c r="E118" s="107"/>
    </row>
    <row r="119" ht="15.75" customHeight="1">
      <c r="A119" s="107"/>
      <c r="B119" s="107"/>
      <c r="C119" s="107"/>
      <c r="D119" s="107"/>
      <c r="E119" s="107"/>
    </row>
    <row r="120" ht="15.75" customHeight="1">
      <c r="A120" s="107"/>
      <c r="B120" s="107"/>
      <c r="C120" s="107"/>
      <c r="D120" s="107"/>
      <c r="E120" s="107"/>
    </row>
    <row r="121" ht="15.75" customHeight="1">
      <c r="A121" s="107"/>
      <c r="B121" s="107"/>
      <c r="C121" s="107"/>
      <c r="D121" s="107"/>
      <c r="E121" s="107"/>
    </row>
    <row r="122" ht="15.75" customHeight="1">
      <c r="A122" s="107"/>
      <c r="B122" s="107"/>
      <c r="C122" s="107"/>
      <c r="D122" s="107"/>
      <c r="E122" s="107"/>
    </row>
    <row r="123" ht="15.75" customHeight="1">
      <c r="A123" s="107"/>
      <c r="B123" s="107"/>
      <c r="C123" s="107"/>
      <c r="D123" s="107"/>
      <c r="E123" s="107"/>
    </row>
    <row r="124" ht="15.75" customHeight="1">
      <c r="A124" s="107"/>
      <c r="B124" s="107"/>
      <c r="C124" s="107"/>
      <c r="D124" s="107"/>
      <c r="E124" s="107"/>
    </row>
    <row r="125" ht="15.75" customHeight="1">
      <c r="A125" s="107"/>
      <c r="B125" s="107"/>
      <c r="C125" s="107"/>
      <c r="D125" s="107"/>
      <c r="E125" s="107"/>
    </row>
    <row r="126" ht="15.75" customHeight="1">
      <c r="A126" s="107"/>
      <c r="B126" s="107"/>
      <c r="C126" s="107"/>
      <c r="D126" s="107"/>
      <c r="E126" s="107"/>
    </row>
    <row r="127" ht="15.75" customHeight="1">
      <c r="A127" s="107"/>
      <c r="B127" s="107"/>
      <c r="C127" s="107"/>
      <c r="D127" s="107"/>
      <c r="E127" s="107"/>
    </row>
    <row r="128" ht="15.75" customHeight="1">
      <c r="A128" s="107"/>
      <c r="B128" s="107"/>
      <c r="C128" s="107"/>
      <c r="D128" s="107"/>
      <c r="E128" s="107"/>
    </row>
    <row r="129" ht="15.75" customHeight="1">
      <c r="A129" s="107"/>
      <c r="B129" s="107"/>
      <c r="C129" s="107"/>
      <c r="D129" s="107"/>
      <c r="E129" s="107"/>
    </row>
    <row r="130" ht="15.75" customHeight="1">
      <c r="A130" s="107"/>
      <c r="B130" s="107"/>
      <c r="C130" s="107"/>
      <c r="D130" s="107"/>
      <c r="E130" s="107"/>
    </row>
    <row r="131" ht="15.75" customHeight="1">
      <c r="A131" s="107"/>
      <c r="B131" s="107"/>
      <c r="C131" s="107"/>
      <c r="D131" s="107"/>
      <c r="E131" s="107"/>
    </row>
    <row r="132" ht="15.75" customHeight="1">
      <c r="A132" s="107"/>
      <c r="B132" s="107"/>
      <c r="C132" s="107"/>
      <c r="D132" s="107"/>
      <c r="E132" s="107"/>
    </row>
    <row r="133" ht="15.75" customHeight="1">
      <c r="A133" s="107"/>
      <c r="B133" s="107"/>
      <c r="C133" s="107"/>
      <c r="D133" s="107"/>
      <c r="E133" s="107"/>
    </row>
    <row r="134" ht="15.75" customHeight="1">
      <c r="A134" s="107"/>
      <c r="B134" s="107"/>
      <c r="C134" s="107"/>
      <c r="D134" s="107"/>
      <c r="E134" s="107"/>
    </row>
    <row r="135" ht="15.75" customHeight="1">
      <c r="A135" s="107"/>
      <c r="B135" s="107"/>
      <c r="C135" s="107"/>
      <c r="D135" s="107"/>
      <c r="E135" s="107"/>
    </row>
    <row r="136" ht="15.75" customHeight="1">
      <c r="A136" s="107"/>
      <c r="B136" s="107"/>
      <c r="C136" s="107"/>
      <c r="D136" s="107"/>
      <c r="E136" s="107"/>
    </row>
    <row r="137" ht="15.75" customHeight="1">
      <c r="A137" s="107"/>
      <c r="B137" s="107"/>
      <c r="C137" s="107"/>
      <c r="D137" s="107"/>
      <c r="E137" s="107"/>
    </row>
    <row r="138" ht="15.75" customHeight="1">
      <c r="A138" s="107"/>
      <c r="B138" s="107"/>
      <c r="C138" s="107"/>
      <c r="D138" s="107"/>
      <c r="E138" s="107"/>
    </row>
    <row r="139" ht="15.75" customHeight="1">
      <c r="A139" s="107"/>
      <c r="B139" s="107"/>
      <c r="C139" s="107"/>
      <c r="D139" s="107"/>
      <c r="E139" s="107"/>
    </row>
    <row r="140" ht="15.75" customHeight="1">
      <c r="A140" s="107"/>
      <c r="B140" s="107"/>
      <c r="C140" s="107"/>
      <c r="D140" s="107"/>
      <c r="E140" s="107"/>
    </row>
    <row r="141" ht="15.75" customHeight="1">
      <c r="A141" s="107"/>
      <c r="B141" s="107"/>
      <c r="C141" s="107"/>
      <c r="D141" s="107"/>
      <c r="E141" s="107"/>
    </row>
    <row r="142" ht="15.75" customHeight="1">
      <c r="A142" s="107"/>
      <c r="B142" s="107"/>
      <c r="C142" s="107"/>
      <c r="D142" s="107"/>
      <c r="E142" s="107"/>
    </row>
    <row r="143" ht="15.75" customHeight="1">
      <c r="A143" s="107"/>
      <c r="B143" s="107"/>
      <c r="C143" s="107"/>
      <c r="D143" s="107"/>
      <c r="E143" s="107"/>
    </row>
    <row r="144" ht="15.75" customHeight="1">
      <c r="A144" s="107"/>
      <c r="B144" s="107"/>
      <c r="C144" s="107"/>
      <c r="D144" s="107"/>
      <c r="E144" s="107"/>
    </row>
    <row r="145" ht="15.75" customHeight="1">
      <c r="A145" s="107"/>
      <c r="B145" s="107"/>
      <c r="C145" s="107"/>
      <c r="D145" s="107"/>
      <c r="E145" s="107"/>
    </row>
    <row r="146" ht="15.75" customHeight="1">
      <c r="A146" s="107"/>
      <c r="B146" s="107"/>
      <c r="C146" s="107"/>
      <c r="D146" s="107"/>
      <c r="E146" s="107"/>
    </row>
    <row r="147" ht="15.75" customHeight="1">
      <c r="A147" s="107"/>
      <c r="B147" s="107"/>
      <c r="C147" s="107"/>
      <c r="D147" s="107"/>
      <c r="E147" s="107"/>
    </row>
    <row r="148" ht="15.75" customHeight="1">
      <c r="A148" s="107"/>
      <c r="B148" s="107"/>
      <c r="C148" s="107"/>
      <c r="D148" s="107"/>
      <c r="E148" s="107"/>
    </row>
    <row r="149" ht="15.75" customHeight="1">
      <c r="A149" s="107"/>
      <c r="B149" s="107"/>
      <c r="C149" s="107"/>
      <c r="D149" s="107"/>
      <c r="E149" s="107"/>
    </row>
    <row r="150" ht="15.75" customHeight="1">
      <c r="A150" s="107"/>
      <c r="B150" s="107"/>
      <c r="C150" s="107"/>
      <c r="D150" s="107"/>
      <c r="E150" s="107"/>
    </row>
    <row r="151" ht="15.75" customHeight="1">
      <c r="A151" s="107"/>
      <c r="B151" s="107"/>
      <c r="C151" s="107"/>
      <c r="D151" s="107"/>
      <c r="E151" s="107"/>
    </row>
    <row r="152" ht="15.75" customHeight="1">
      <c r="A152" s="107"/>
      <c r="B152" s="107"/>
      <c r="C152" s="107"/>
      <c r="D152" s="107"/>
      <c r="E152" s="107"/>
    </row>
    <row r="153" ht="15.75" customHeight="1">
      <c r="A153" s="107"/>
      <c r="B153" s="107"/>
      <c r="C153" s="107"/>
      <c r="D153" s="107"/>
      <c r="E153" s="107"/>
    </row>
    <row r="154" ht="15.75" customHeight="1">
      <c r="A154" s="107"/>
      <c r="B154" s="107"/>
      <c r="C154" s="107"/>
      <c r="D154" s="107"/>
      <c r="E154" s="107"/>
    </row>
    <row r="155" ht="15.75" customHeight="1">
      <c r="A155" s="107"/>
      <c r="B155" s="107"/>
      <c r="C155" s="107"/>
      <c r="D155" s="107"/>
      <c r="E155" s="107"/>
    </row>
    <row r="156" ht="15.75" customHeight="1">
      <c r="A156" s="107"/>
      <c r="B156" s="107"/>
      <c r="C156" s="107"/>
      <c r="D156" s="107"/>
      <c r="E156" s="107"/>
    </row>
    <row r="157" ht="15.75" customHeight="1">
      <c r="A157" s="107"/>
      <c r="B157" s="107"/>
      <c r="C157" s="107"/>
      <c r="D157" s="107"/>
      <c r="E157" s="107"/>
    </row>
    <row r="158" ht="15.75" customHeight="1">
      <c r="A158" s="107"/>
      <c r="B158" s="107"/>
      <c r="C158" s="107"/>
      <c r="D158" s="107"/>
      <c r="E158" s="107"/>
    </row>
    <row r="159" ht="15.75" customHeight="1">
      <c r="A159" s="107"/>
      <c r="B159" s="107"/>
      <c r="C159" s="107"/>
      <c r="D159" s="107"/>
      <c r="E159" s="107"/>
    </row>
    <row r="160" ht="15.75" customHeight="1">
      <c r="A160" s="107"/>
      <c r="B160" s="107"/>
      <c r="C160" s="107"/>
      <c r="D160" s="107"/>
      <c r="E160" s="107"/>
    </row>
    <row r="161" ht="15.75" customHeight="1">
      <c r="A161" s="107"/>
      <c r="B161" s="107"/>
      <c r="C161" s="107"/>
      <c r="D161" s="107"/>
      <c r="E161" s="107"/>
    </row>
    <row r="162" ht="15.75" customHeight="1">
      <c r="A162" s="107"/>
      <c r="B162" s="107"/>
      <c r="C162" s="107"/>
      <c r="D162" s="107"/>
      <c r="E162" s="107"/>
    </row>
    <row r="163" ht="15.75" customHeight="1">
      <c r="A163" s="107"/>
      <c r="B163" s="107"/>
      <c r="C163" s="107"/>
      <c r="D163" s="107"/>
      <c r="E163" s="107"/>
    </row>
    <row r="164" ht="15.75" customHeight="1">
      <c r="A164" s="107"/>
      <c r="B164" s="107"/>
      <c r="C164" s="107"/>
      <c r="D164" s="107"/>
      <c r="E164" s="107"/>
    </row>
    <row r="165" ht="15.75" customHeight="1">
      <c r="A165" s="107"/>
      <c r="B165" s="107"/>
      <c r="C165" s="107"/>
      <c r="D165" s="107"/>
      <c r="E165" s="107"/>
    </row>
    <row r="166" ht="15.75" customHeight="1">
      <c r="A166" s="107"/>
      <c r="B166" s="107"/>
      <c r="C166" s="107"/>
      <c r="D166" s="107"/>
      <c r="E166" s="107"/>
    </row>
    <row r="167" ht="15.75" customHeight="1">
      <c r="A167" s="107"/>
      <c r="B167" s="107"/>
      <c r="C167" s="107"/>
      <c r="D167" s="107"/>
      <c r="E167" s="107"/>
    </row>
    <row r="168" ht="15.75" customHeight="1">
      <c r="A168" s="107"/>
      <c r="B168" s="107"/>
      <c r="C168" s="107"/>
      <c r="D168" s="107"/>
      <c r="E168" s="107"/>
    </row>
    <row r="169" ht="15.75" customHeight="1">
      <c r="A169" s="107"/>
      <c r="B169" s="107"/>
      <c r="C169" s="107"/>
      <c r="D169" s="107"/>
      <c r="E169" s="107"/>
    </row>
    <row r="170" ht="15.75" customHeight="1">
      <c r="A170" s="107"/>
      <c r="B170" s="107"/>
      <c r="C170" s="107"/>
      <c r="D170" s="107"/>
      <c r="E170" s="107"/>
    </row>
    <row r="171" ht="15.75" customHeight="1">
      <c r="A171" s="107"/>
      <c r="B171" s="107"/>
      <c r="C171" s="107"/>
      <c r="D171" s="107"/>
      <c r="E171" s="107"/>
    </row>
    <row r="172" ht="15.75" customHeight="1">
      <c r="A172" s="107"/>
      <c r="B172" s="107"/>
      <c r="C172" s="107"/>
      <c r="D172" s="107"/>
      <c r="E172" s="107"/>
    </row>
    <row r="173" ht="15.75" customHeight="1">
      <c r="A173" s="107"/>
      <c r="B173" s="107"/>
      <c r="C173" s="107"/>
      <c r="D173" s="107"/>
      <c r="E173" s="107"/>
    </row>
    <row r="174" ht="15.75" customHeight="1">
      <c r="A174" s="107"/>
      <c r="B174" s="107"/>
      <c r="C174" s="107"/>
      <c r="D174" s="107"/>
      <c r="E174" s="107"/>
    </row>
    <row r="175" ht="15.75" customHeight="1">
      <c r="A175" s="107"/>
      <c r="B175" s="107"/>
      <c r="C175" s="107"/>
      <c r="D175" s="107"/>
      <c r="E175" s="107"/>
    </row>
    <row r="176" ht="15.75" customHeight="1">
      <c r="A176" s="107"/>
      <c r="B176" s="107"/>
      <c r="C176" s="107"/>
      <c r="D176" s="107"/>
      <c r="E176" s="107"/>
    </row>
    <row r="177" ht="15.75" customHeight="1">
      <c r="A177" s="107"/>
      <c r="B177" s="107"/>
      <c r="C177" s="107"/>
      <c r="D177" s="107"/>
      <c r="E177" s="107"/>
    </row>
    <row r="178" ht="15.75" customHeight="1">
      <c r="A178" s="107"/>
      <c r="B178" s="107"/>
      <c r="C178" s="107"/>
      <c r="D178" s="107"/>
      <c r="E178" s="107"/>
    </row>
    <row r="179" ht="15.75" customHeight="1">
      <c r="A179" s="107"/>
      <c r="B179" s="107"/>
      <c r="C179" s="107"/>
      <c r="D179" s="107"/>
      <c r="E179" s="107"/>
    </row>
    <row r="180" ht="15.75" customHeight="1">
      <c r="A180" s="107"/>
      <c r="B180" s="107"/>
      <c r="C180" s="107"/>
      <c r="D180" s="107"/>
      <c r="E180" s="107"/>
    </row>
    <row r="181" ht="15.75" customHeight="1">
      <c r="A181" s="107"/>
      <c r="B181" s="107"/>
      <c r="C181" s="107"/>
      <c r="D181" s="107"/>
      <c r="E181" s="107"/>
    </row>
    <row r="182" ht="15.75" customHeight="1">
      <c r="A182" s="107"/>
      <c r="B182" s="107"/>
      <c r="C182" s="107"/>
      <c r="D182" s="107"/>
      <c r="E182" s="107"/>
    </row>
    <row r="183" ht="15.75" customHeight="1">
      <c r="A183" s="107"/>
      <c r="B183" s="107"/>
      <c r="C183" s="107"/>
      <c r="D183" s="107"/>
      <c r="E183" s="107"/>
    </row>
    <row r="184" ht="15.75" customHeight="1">
      <c r="A184" s="107"/>
      <c r="B184" s="107"/>
      <c r="C184" s="107"/>
      <c r="D184" s="107"/>
      <c r="E184" s="107"/>
    </row>
    <row r="185" ht="15.75" customHeight="1">
      <c r="A185" s="107"/>
      <c r="B185" s="107"/>
      <c r="C185" s="107"/>
      <c r="D185" s="107"/>
      <c r="E185" s="107"/>
    </row>
    <row r="186" ht="15.75" customHeight="1">
      <c r="A186" s="107"/>
      <c r="B186" s="107"/>
      <c r="C186" s="107"/>
      <c r="D186" s="107"/>
      <c r="E186" s="107"/>
    </row>
    <row r="187" ht="15.75" customHeight="1">
      <c r="A187" s="107"/>
      <c r="B187" s="107"/>
      <c r="C187" s="107"/>
      <c r="D187" s="107"/>
      <c r="E187" s="107"/>
    </row>
    <row r="188" ht="15.75" customHeight="1">
      <c r="A188" s="107"/>
      <c r="B188" s="107"/>
      <c r="C188" s="107"/>
      <c r="D188" s="107"/>
      <c r="E188" s="107"/>
    </row>
    <row r="189" ht="15.75" customHeight="1">
      <c r="A189" s="107"/>
      <c r="B189" s="107"/>
      <c r="C189" s="107"/>
      <c r="D189" s="107"/>
      <c r="E189" s="107"/>
    </row>
    <row r="190" ht="15.75" customHeight="1">
      <c r="A190" s="107"/>
      <c r="B190" s="107"/>
      <c r="C190" s="107"/>
      <c r="D190" s="107"/>
      <c r="E190" s="107"/>
    </row>
    <row r="191" ht="15.75" customHeight="1">
      <c r="A191" s="107"/>
      <c r="B191" s="107"/>
      <c r="C191" s="107"/>
      <c r="D191" s="107"/>
      <c r="E191" s="107"/>
    </row>
    <row r="192" ht="15.75" customHeight="1">
      <c r="A192" s="107"/>
      <c r="B192" s="107"/>
      <c r="C192" s="107"/>
      <c r="D192" s="107"/>
      <c r="E192" s="107"/>
    </row>
    <row r="193" ht="15.75" customHeight="1">
      <c r="A193" s="107"/>
      <c r="B193" s="107"/>
      <c r="C193" s="107"/>
      <c r="D193" s="107"/>
      <c r="E193" s="107"/>
    </row>
    <row r="194" ht="15.75" customHeight="1">
      <c r="A194" s="107"/>
      <c r="B194" s="107"/>
      <c r="C194" s="107"/>
      <c r="D194" s="107"/>
      <c r="E194" s="107"/>
    </row>
    <row r="195" ht="15.75" customHeight="1">
      <c r="A195" s="107"/>
      <c r="B195" s="107"/>
      <c r="C195" s="107"/>
      <c r="D195" s="107"/>
      <c r="E195" s="107"/>
    </row>
    <row r="196" ht="15.75" customHeight="1">
      <c r="A196" s="107"/>
      <c r="B196" s="107"/>
      <c r="C196" s="107"/>
      <c r="D196" s="107"/>
      <c r="E196" s="107"/>
    </row>
    <row r="197" ht="15.75" customHeight="1">
      <c r="A197" s="107"/>
      <c r="B197" s="107"/>
      <c r="C197" s="107"/>
      <c r="D197" s="107"/>
      <c r="E197" s="107"/>
    </row>
    <row r="198" ht="15.75" customHeight="1">
      <c r="A198" s="107"/>
      <c r="B198" s="107"/>
      <c r="C198" s="107"/>
      <c r="D198" s="107"/>
      <c r="E198" s="107"/>
    </row>
    <row r="199" ht="15.75" customHeight="1">
      <c r="A199" s="107"/>
      <c r="B199" s="107"/>
      <c r="C199" s="107"/>
      <c r="D199" s="107"/>
      <c r="E199" s="107"/>
    </row>
    <row r="200" ht="15.75" customHeight="1">
      <c r="A200" s="107"/>
      <c r="B200" s="107"/>
      <c r="C200" s="107"/>
      <c r="D200" s="107"/>
      <c r="E200" s="107"/>
    </row>
    <row r="201" ht="15.75" customHeight="1">
      <c r="A201" s="107"/>
      <c r="B201" s="107"/>
      <c r="C201" s="107"/>
      <c r="D201" s="107"/>
      <c r="E201" s="107"/>
    </row>
    <row r="202" ht="15.75" customHeight="1">
      <c r="A202" s="107"/>
      <c r="B202" s="107"/>
      <c r="C202" s="107"/>
      <c r="D202" s="107"/>
      <c r="E202" s="107"/>
    </row>
    <row r="203" ht="15.75" customHeight="1">
      <c r="A203" s="107"/>
      <c r="B203" s="107"/>
      <c r="C203" s="107"/>
      <c r="D203" s="107"/>
      <c r="E203" s="107"/>
    </row>
    <row r="204" ht="15.75" customHeight="1">
      <c r="A204" s="107"/>
      <c r="B204" s="107"/>
      <c r="C204" s="107"/>
      <c r="D204" s="107"/>
      <c r="E204" s="107"/>
    </row>
    <row r="205" ht="15.75" customHeight="1">
      <c r="A205" s="107"/>
      <c r="B205" s="107"/>
      <c r="C205" s="107"/>
      <c r="D205" s="107"/>
      <c r="E205" s="107"/>
    </row>
    <row r="206" ht="15.75" customHeight="1">
      <c r="A206" s="107"/>
      <c r="B206" s="107"/>
      <c r="C206" s="107"/>
      <c r="D206" s="107"/>
      <c r="E206" s="107"/>
    </row>
    <row r="207" ht="15.75" customHeight="1">
      <c r="A207" s="107"/>
      <c r="B207" s="107"/>
      <c r="C207" s="107"/>
      <c r="D207" s="107"/>
      <c r="E207" s="107"/>
    </row>
    <row r="208" ht="15.75" customHeight="1">
      <c r="A208" s="107"/>
      <c r="B208" s="107"/>
      <c r="C208" s="107"/>
      <c r="D208" s="107"/>
      <c r="E208" s="107"/>
    </row>
    <row r="209" ht="15.75" customHeight="1">
      <c r="A209" s="107"/>
      <c r="B209" s="107"/>
      <c r="C209" s="107"/>
      <c r="D209" s="107"/>
      <c r="E209" s="107"/>
    </row>
    <row r="210" ht="15.75" customHeight="1">
      <c r="A210" s="107"/>
      <c r="B210" s="107"/>
      <c r="C210" s="107"/>
      <c r="D210" s="107"/>
      <c r="E210" s="107"/>
    </row>
    <row r="211" ht="15.75" customHeight="1">
      <c r="A211" s="107"/>
      <c r="B211" s="107"/>
      <c r="C211" s="107"/>
      <c r="D211" s="107"/>
      <c r="E211" s="107"/>
    </row>
    <row r="212" ht="15.75" customHeight="1">
      <c r="A212" s="107"/>
      <c r="B212" s="107"/>
      <c r="C212" s="107"/>
      <c r="D212" s="107"/>
      <c r="E212" s="107"/>
    </row>
    <row r="213" ht="15.75" customHeight="1">
      <c r="A213" s="107"/>
      <c r="B213" s="107"/>
      <c r="C213" s="107"/>
      <c r="D213" s="107"/>
      <c r="E213" s="107"/>
    </row>
    <row r="214" ht="15.75" customHeight="1">
      <c r="A214" s="107"/>
      <c r="B214" s="107"/>
      <c r="C214" s="107"/>
      <c r="D214" s="107"/>
      <c r="E214" s="107"/>
    </row>
    <row r="215" ht="15.75" customHeight="1">
      <c r="A215" s="107"/>
      <c r="B215" s="107"/>
      <c r="C215" s="107"/>
      <c r="D215" s="107"/>
      <c r="E215" s="107"/>
    </row>
    <row r="216" ht="15.75" customHeight="1">
      <c r="A216" s="107"/>
      <c r="B216" s="107"/>
      <c r="C216" s="107"/>
      <c r="D216" s="107"/>
      <c r="E216" s="107"/>
    </row>
    <row r="217" ht="15.75" customHeight="1">
      <c r="A217" s="107"/>
      <c r="B217" s="107"/>
      <c r="C217" s="107"/>
      <c r="D217" s="107"/>
      <c r="E217" s="107"/>
    </row>
    <row r="218" ht="15.75" customHeight="1">
      <c r="A218" s="107"/>
      <c r="B218" s="107"/>
      <c r="C218" s="107"/>
      <c r="D218" s="107"/>
      <c r="E218" s="107"/>
    </row>
    <row r="219" ht="15.75" customHeight="1">
      <c r="A219" s="107"/>
      <c r="B219" s="107"/>
      <c r="C219" s="107"/>
      <c r="D219" s="107"/>
      <c r="E219" s="107"/>
    </row>
    <row r="220" ht="15.75" customHeight="1">
      <c r="A220" s="107"/>
      <c r="B220" s="107"/>
      <c r="C220" s="107"/>
      <c r="D220" s="107"/>
      <c r="E220" s="107"/>
    </row>
    <row r="221" ht="15.75" customHeight="1">
      <c r="A221" s="107"/>
      <c r="B221" s="107"/>
      <c r="C221" s="107"/>
      <c r="D221" s="107"/>
      <c r="E221" s="107"/>
    </row>
    <row r="222" ht="15.75" customHeight="1">
      <c r="A222" s="107"/>
      <c r="B222" s="107"/>
      <c r="C222" s="107"/>
      <c r="D222" s="107"/>
      <c r="E222" s="107"/>
    </row>
    <row r="223" ht="15.75" customHeight="1">
      <c r="A223" s="107"/>
      <c r="B223" s="107"/>
      <c r="C223" s="107"/>
      <c r="D223" s="107"/>
      <c r="E223" s="107"/>
    </row>
    <row r="224" ht="15.75" customHeight="1">
      <c r="A224" s="107"/>
      <c r="B224" s="107"/>
      <c r="C224" s="107"/>
      <c r="D224" s="107"/>
      <c r="E224" s="107"/>
    </row>
    <row r="225" ht="15.75" customHeight="1">
      <c r="A225" s="107"/>
      <c r="B225" s="107"/>
      <c r="C225" s="107"/>
      <c r="D225" s="107"/>
      <c r="E225" s="107"/>
    </row>
    <row r="226" ht="15.75" customHeight="1">
      <c r="A226" s="107"/>
      <c r="B226" s="107"/>
      <c r="C226" s="107"/>
      <c r="D226" s="107"/>
      <c r="E226" s="107"/>
    </row>
    <row r="227" ht="15.75" customHeight="1">
      <c r="A227" s="107"/>
      <c r="B227" s="107"/>
      <c r="C227" s="107"/>
      <c r="D227" s="107"/>
      <c r="E227" s="107"/>
    </row>
    <row r="228" ht="15.75" customHeight="1">
      <c r="A228" s="107"/>
      <c r="B228" s="107"/>
      <c r="C228" s="107"/>
      <c r="D228" s="107"/>
      <c r="E228" s="107"/>
    </row>
    <row r="229" ht="15.75" customHeight="1">
      <c r="A229" s="107"/>
      <c r="B229" s="107"/>
      <c r="C229" s="107"/>
      <c r="D229" s="107"/>
      <c r="E229" s="107"/>
    </row>
    <row r="230" ht="15.75" customHeight="1">
      <c r="A230" s="107"/>
      <c r="B230" s="107"/>
      <c r="C230" s="107"/>
      <c r="D230" s="107"/>
      <c r="E230" s="107"/>
    </row>
    <row r="231" ht="15.75" customHeight="1">
      <c r="A231" s="107"/>
      <c r="B231" s="107"/>
      <c r="C231" s="107"/>
      <c r="D231" s="107"/>
      <c r="E231" s="107"/>
    </row>
    <row r="232" ht="15.75" customHeight="1">
      <c r="A232" s="107"/>
      <c r="B232" s="107"/>
      <c r="C232" s="107"/>
      <c r="D232" s="107"/>
      <c r="E232" s="107"/>
    </row>
    <row r="233" ht="15.75" customHeight="1">
      <c r="A233" s="107"/>
      <c r="B233" s="107"/>
      <c r="C233" s="107"/>
      <c r="D233" s="107"/>
      <c r="E233" s="107"/>
    </row>
    <row r="234" ht="15.75" customHeight="1">
      <c r="A234" s="107"/>
      <c r="B234" s="107"/>
      <c r="C234" s="107"/>
      <c r="D234" s="107"/>
      <c r="E234" s="107"/>
    </row>
    <row r="235" ht="15.75" customHeight="1">
      <c r="A235" s="107"/>
      <c r="B235" s="107"/>
      <c r="C235" s="107"/>
      <c r="D235" s="107"/>
      <c r="E235" s="107"/>
    </row>
    <row r="236" ht="15.75" customHeight="1">
      <c r="A236" s="107"/>
      <c r="B236" s="107"/>
      <c r="C236" s="107"/>
      <c r="D236" s="107"/>
      <c r="E236" s="107"/>
    </row>
    <row r="237" ht="15.75" customHeight="1">
      <c r="A237" s="107"/>
      <c r="B237" s="107"/>
      <c r="C237" s="107"/>
      <c r="D237" s="107"/>
      <c r="E237" s="107"/>
    </row>
    <row r="238" ht="15.75" customHeight="1">
      <c r="A238" s="107"/>
      <c r="B238" s="107"/>
      <c r="C238" s="107"/>
      <c r="D238" s="107"/>
      <c r="E238" s="107"/>
    </row>
    <row r="239" ht="15.75" customHeight="1">
      <c r="A239" s="107"/>
      <c r="B239" s="107"/>
      <c r="C239" s="107"/>
      <c r="D239" s="107"/>
      <c r="E239" s="107"/>
    </row>
    <row r="240" ht="15.75" customHeight="1">
      <c r="A240" s="107"/>
      <c r="B240" s="107"/>
      <c r="C240" s="107"/>
      <c r="D240" s="107"/>
      <c r="E240" s="107"/>
    </row>
    <row r="241" ht="15.75" customHeight="1">
      <c r="A241" s="107"/>
      <c r="B241" s="107"/>
      <c r="C241" s="107"/>
      <c r="D241" s="107"/>
      <c r="E241" s="107"/>
    </row>
    <row r="242" ht="15.75" customHeight="1">
      <c r="A242" s="107"/>
      <c r="B242" s="107"/>
      <c r="C242" s="107"/>
      <c r="D242" s="107"/>
      <c r="E242" s="107"/>
    </row>
    <row r="243" ht="15.75" customHeight="1">
      <c r="A243" s="107"/>
      <c r="B243" s="107"/>
      <c r="C243" s="107"/>
      <c r="D243" s="107"/>
      <c r="E243" s="107"/>
    </row>
    <row r="244" ht="15.75" customHeight="1">
      <c r="A244" s="107"/>
      <c r="B244" s="107"/>
      <c r="C244" s="107"/>
      <c r="D244" s="107"/>
      <c r="E244" s="107"/>
    </row>
    <row r="245" ht="15.75" customHeight="1">
      <c r="A245" s="107"/>
      <c r="B245" s="107"/>
      <c r="C245" s="107"/>
      <c r="D245" s="107"/>
      <c r="E245" s="107"/>
    </row>
    <row r="246" ht="15.75" customHeight="1">
      <c r="A246" s="107"/>
      <c r="B246" s="107"/>
      <c r="C246" s="107"/>
      <c r="D246" s="107"/>
      <c r="E246" s="107"/>
    </row>
    <row r="247" ht="15.75" customHeight="1">
      <c r="A247" s="107"/>
      <c r="B247" s="107"/>
      <c r="C247" s="107"/>
      <c r="D247" s="107"/>
      <c r="E247" s="107"/>
    </row>
    <row r="248" ht="15.75" customHeight="1">
      <c r="A248" s="107"/>
      <c r="B248" s="107"/>
      <c r="C248" s="107"/>
      <c r="D248" s="107"/>
      <c r="E248" s="107"/>
    </row>
    <row r="249" ht="15.75" customHeight="1">
      <c r="A249" s="107"/>
      <c r="B249" s="107"/>
      <c r="C249" s="107"/>
      <c r="D249" s="107"/>
      <c r="E249" s="107"/>
    </row>
    <row r="250" ht="15.75" customHeight="1">
      <c r="A250" s="107"/>
      <c r="B250" s="107"/>
      <c r="C250" s="107"/>
      <c r="D250" s="107"/>
      <c r="E250" s="107"/>
    </row>
    <row r="251" ht="15.75" customHeight="1">
      <c r="A251" s="107"/>
      <c r="B251" s="107"/>
      <c r="C251" s="107"/>
      <c r="D251" s="107"/>
      <c r="E251" s="107"/>
    </row>
    <row r="252" ht="15.75" customHeight="1">
      <c r="A252" s="107"/>
      <c r="B252" s="107"/>
      <c r="C252" s="107"/>
      <c r="D252" s="107"/>
      <c r="E252" s="107"/>
    </row>
    <row r="253" ht="15.75" customHeight="1">
      <c r="A253" s="107"/>
      <c r="B253" s="107"/>
      <c r="C253" s="107"/>
      <c r="D253" s="107"/>
      <c r="E253" s="107"/>
    </row>
    <row r="254" ht="15.75" customHeight="1">
      <c r="A254" s="107"/>
      <c r="B254" s="107"/>
      <c r="C254" s="107"/>
      <c r="D254" s="107"/>
      <c r="E254" s="107"/>
    </row>
    <row r="255" ht="15.75" customHeight="1">
      <c r="A255" s="107"/>
      <c r="B255" s="107"/>
      <c r="C255" s="107"/>
      <c r="D255" s="107"/>
      <c r="E255" s="107"/>
    </row>
    <row r="256" ht="15.75" customHeight="1">
      <c r="A256" s="107"/>
      <c r="B256" s="107"/>
      <c r="C256" s="107"/>
      <c r="D256" s="107"/>
      <c r="E256" s="107"/>
    </row>
    <row r="257" ht="15.75" customHeight="1">
      <c r="A257" s="107"/>
      <c r="B257" s="107"/>
      <c r="C257" s="107"/>
      <c r="D257" s="107"/>
      <c r="E257" s="107"/>
    </row>
    <row r="258" ht="15.75" customHeight="1">
      <c r="A258" s="107"/>
      <c r="B258" s="107"/>
      <c r="C258" s="107"/>
      <c r="D258" s="107"/>
      <c r="E258" s="107"/>
    </row>
    <row r="259" ht="15.75" customHeight="1">
      <c r="A259" s="107"/>
      <c r="B259" s="107"/>
      <c r="C259" s="107"/>
      <c r="D259" s="107"/>
      <c r="E259" s="107"/>
    </row>
    <row r="260" ht="15.75" customHeight="1">
      <c r="A260" s="107"/>
      <c r="B260" s="107"/>
      <c r="C260" s="107"/>
      <c r="D260" s="107"/>
      <c r="E260" s="107"/>
    </row>
    <row r="261" ht="15.75" customHeight="1">
      <c r="A261" s="107"/>
      <c r="B261" s="107"/>
      <c r="C261" s="107"/>
      <c r="D261" s="107"/>
      <c r="E261" s="107"/>
    </row>
    <row r="262" ht="15.75" customHeight="1">
      <c r="A262" s="107"/>
      <c r="B262" s="107"/>
      <c r="C262" s="107"/>
      <c r="D262" s="107"/>
      <c r="E262" s="107"/>
    </row>
    <row r="263" ht="15.75" customHeight="1">
      <c r="A263" s="107"/>
      <c r="B263" s="107"/>
      <c r="C263" s="107"/>
      <c r="D263" s="107"/>
      <c r="E263" s="107"/>
    </row>
    <row r="264" ht="15.75" customHeight="1">
      <c r="A264" s="107"/>
      <c r="B264" s="107"/>
      <c r="C264" s="107"/>
      <c r="D264" s="107"/>
      <c r="E264" s="107"/>
    </row>
    <row r="265" ht="15.75" customHeight="1">
      <c r="A265" s="107"/>
      <c r="B265" s="107"/>
      <c r="C265" s="107"/>
      <c r="D265" s="107"/>
      <c r="E265" s="107"/>
    </row>
    <row r="266" ht="15.75" customHeight="1">
      <c r="A266" s="107"/>
      <c r="B266" s="107"/>
      <c r="C266" s="107"/>
      <c r="D266" s="107"/>
      <c r="E266" s="107"/>
    </row>
    <row r="267" ht="15.75" customHeight="1">
      <c r="A267" s="107"/>
      <c r="B267" s="107"/>
      <c r="C267" s="107"/>
      <c r="D267" s="107"/>
      <c r="E267" s="107"/>
    </row>
    <row r="268" ht="15.75" customHeight="1">
      <c r="A268" s="107"/>
      <c r="B268" s="107"/>
      <c r="C268" s="107"/>
      <c r="D268" s="107"/>
      <c r="E268" s="107"/>
    </row>
    <row r="269" ht="15.75" customHeight="1">
      <c r="A269" s="107"/>
      <c r="B269" s="107"/>
      <c r="C269" s="107"/>
      <c r="D269" s="107"/>
      <c r="E269" s="107"/>
    </row>
    <row r="270" ht="15.75" customHeight="1">
      <c r="A270" s="107"/>
      <c r="B270" s="107"/>
      <c r="C270" s="107"/>
      <c r="D270" s="107"/>
      <c r="E270" s="107"/>
    </row>
    <row r="271" ht="15.75" customHeight="1">
      <c r="A271" s="107"/>
      <c r="B271" s="107"/>
      <c r="C271" s="107"/>
      <c r="D271" s="107"/>
      <c r="E271" s="107"/>
    </row>
    <row r="272" ht="15.75" customHeight="1">
      <c r="A272" s="107"/>
      <c r="B272" s="107"/>
      <c r="C272" s="107"/>
      <c r="D272" s="107"/>
      <c r="E272" s="107"/>
    </row>
    <row r="273" ht="15.75" customHeight="1">
      <c r="A273" s="107"/>
      <c r="B273" s="107"/>
      <c r="C273" s="107"/>
      <c r="D273" s="107"/>
      <c r="E273" s="107"/>
    </row>
    <row r="274" ht="15.75" customHeight="1">
      <c r="A274" s="107"/>
      <c r="B274" s="107"/>
      <c r="C274" s="107"/>
      <c r="D274" s="107"/>
      <c r="E274" s="107"/>
    </row>
    <row r="275" ht="15.75" customHeight="1">
      <c r="A275" s="107"/>
      <c r="B275" s="107"/>
      <c r="C275" s="107"/>
      <c r="D275" s="107"/>
      <c r="E275" s="107"/>
    </row>
    <row r="276" ht="15.75" customHeight="1">
      <c r="A276" s="107"/>
      <c r="B276" s="107"/>
      <c r="C276" s="107"/>
      <c r="D276" s="107"/>
      <c r="E276" s="107"/>
    </row>
    <row r="277" ht="15.75" customHeight="1">
      <c r="A277" s="107"/>
      <c r="B277" s="107"/>
      <c r="C277" s="107"/>
      <c r="D277" s="107"/>
      <c r="E277" s="107"/>
    </row>
    <row r="278" ht="15.75" customHeight="1">
      <c r="A278" s="107"/>
      <c r="B278" s="107"/>
      <c r="C278" s="107"/>
      <c r="D278" s="107"/>
      <c r="E278" s="107"/>
    </row>
    <row r="279" ht="15.75" customHeight="1">
      <c r="A279" s="107"/>
      <c r="B279" s="107"/>
      <c r="C279" s="107"/>
      <c r="D279" s="107"/>
      <c r="E279" s="107"/>
    </row>
    <row r="280" ht="15.75" customHeight="1">
      <c r="A280" s="107"/>
      <c r="B280" s="107"/>
      <c r="C280" s="107"/>
      <c r="D280" s="107"/>
      <c r="E280" s="107"/>
    </row>
    <row r="281" ht="15.75" customHeight="1">
      <c r="A281" s="107"/>
      <c r="B281" s="107"/>
      <c r="C281" s="107"/>
      <c r="D281" s="107"/>
      <c r="E281" s="107"/>
    </row>
    <row r="282" ht="15.75" customHeight="1">
      <c r="A282" s="107"/>
      <c r="B282" s="107"/>
      <c r="C282" s="107"/>
      <c r="D282" s="107"/>
      <c r="E282" s="107"/>
    </row>
    <row r="283" ht="15.75" customHeight="1">
      <c r="A283" s="107"/>
      <c r="B283" s="107"/>
      <c r="C283" s="107"/>
      <c r="D283" s="107"/>
      <c r="E283" s="107"/>
    </row>
    <row r="284" ht="15.75" customHeight="1">
      <c r="A284" s="107"/>
      <c r="B284" s="107"/>
      <c r="C284" s="107"/>
      <c r="D284" s="107"/>
      <c r="E284" s="107"/>
    </row>
    <row r="285" ht="15.75" customHeight="1">
      <c r="A285" s="107"/>
      <c r="B285" s="107"/>
      <c r="C285" s="107"/>
      <c r="D285" s="107"/>
      <c r="E285" s="107"/>
    </row>
    <row r="286" ht="15.75" customHeight="1">
      <c r="A286" s="107"/>
      <c r="B286" s="107"/>
      <c r="C286" s="107"/>
      <c r="D286" s="107"/>
      <c r="E286" s="107"/>
    </row>
    <row r="287" ht="15.75" customHeight="1">
      <c r="A287" s="107"/>
      <c r="B287" s="107"/>
      <c r="C287" s="107"/>
      <c r="D287" s="107"/>
      <c r="E287" s="107"/>
    </row>
    <row r="288" ht="15.75" customHeight="1">
      <c r="A288" s="107"/>
      <c r="B288" s="107"/>
      <c r="C288" s="107"/>
      <c r="D288" s="107"/>
      <c r="E288" s="107"/>
    </row>
    <row r="289" ht="15.75" customHeight="1">
      <c r="A289" s="107"/>
      <c r="B289" s="107"/>
      <c r="C289" s="107"/>
      <c r="D289" s="107"/>
      <c r="E289" s="107"/>
    </row>
    <row r="290" ht="15.75" customHeight="1">
      <c r="A290" s="107"/>
      <c r="B290" s="107"/>
      <c r="C290" s="107"/>
      <c r="D290" s="107"/>
      <c r="E290" s="107"/>
    </row>
    <row r="291" ht="15.75" customHeight="1">
      <c r="A291" s="107"/>
      <c r="B291" s="107"/>
      <c r="C291" s="107"/>
      <c r="D291" s="107"/>
      <c r="E291" s="107"/>
    </row>
    <row r="292" ht="15.75" customHeight="1">
      <c r="A292" s="107"/>
      <c r="B292" s="107"/>
      <c r="C292" s="107"/>
      <c r="D292" s="107"/>
      <c r="E292" s="107"/>
    </row>
    <row r="293" ht="15.75" customHeight="1">
      <c r="A293" s="107"/>
      <c r="B293" s="107"/>
      <c r="C293" s="107"/>
      <c r="D293" s="107"/>
      <c r="E293" s="107"/>
    </row>
    <row r="294" ht="15.75" customHeight="1">
      <c r="A294" s="107"/>
      <c r="B294" s="107"/>
      <c r="C294" s="107"/>
      <c r="D294" s="107"/>
      <c r="E294" s="107"/>
    </row>
    <row r="295" ht="15.75" customHeight="1">
      <c r="A295" s="107"/>
      <c r="B295" s="107"/>
      <c r="C295" s="107"/>
      <c r="D295" s="107"/>
      <c r="E295" s="107"/>
    </row>
    <row r="296" ht="15.75" customHeight="1">
      <c r="A296" s="107"/>
      <c r="B296" s="107"/>
      <c r="C296" s="107"/>
      <c r="D296" s="107"/>
      <c r="E296" s="107"/>
    </row>
    <row r="297" ht="15.75" customHeight="1">
      <c r="A297" s="107"/>
      <c r="B297" s="107"/>
      <c r="C297" s="107"/>
      <c r="D297" s="107"/>
      <c r="E297" s="107"/>
    </row>
    <row r="298" ht="15.75" customHeight="1">
      <c r="A298" s="107"/>
      <c r="B298" s="107"/>
      <c r="C298" s="107"/>
      <c r="D298" s="107"/>
      <c r="E298" s="107"/>
    </row>
    <row r="299" ht="15.75" customHeight="1">
      <c r="A299" s="107"/>
      <c r="B299" s="107"/>
      <c r="C299" s="107"/>
      <c r="D299" s="107"/>
      <c r="E299" s="107"/>
    </row>
    <row r="300" ht="15.75" customHeight="1">
      <c r="A300" s="107"/>
      <c r="B300" s="107"/>
      <c r="C300" s="107"/>
      <c r="D300" s="107"/>
      <c r="E300" s="107"/>
    </row>
    <row r="301" ht="15.75" customHeight="1">
      <c r="A301" s="107"/>
      <c r="B301" s="107"/>
      <c r="C301" s="107"/>
      <c r="D301" s="107"/>
      <c r="E301" s="107"/>
    </row>
    <row r="302" ht="15.75" customHeight="1">
      <c r="A302" s="107"/>
      <c r="B302" s="107"/>
      <c r="C302" s="107"/>
      <c r="D302" s="107"/>
      <c r="E302" s="107"/>
    </row>
    <row r="303" ht="15.75" customHeight="1">
      <c r="A303" s="107"/>
      <c r="B303" s="107"/>
      <c r="C303" s="107"/>
      <c r="D303" s="107"/>
      <c r="E303" s="107"/>
    </row>
    <row r="304" ht="15.75" customHeight="1">
      <c r="A304" s="107"/>
      <c r="B304" s="107"/>
      <c r="C304" s="107"/>
      <c r="D304" s="107"/>
      <c r="E304" s="107"/>
    </row>
    <row r="305" ht="15.75" customHeight="1">
      <c r="A305" s="107"/>
      <c r="B305" s="107"/>
      <c r="C305" s="107"/>
      <c r="D305" s="107"/>
      <c r="E305" s="107"/>
    </row>
    <row r="306" ht="15.75" customHeight="1">
      <c r="A306" s="107"/>
      <c r="B306" s="107"/>
      <c r="C306" s="107"/>
      <c r="D306" s="107"/>
      <c r="E306" s="107"/>
    </row>
    <row r="307" ht="15.75" customHeight="1">
      <c r="A307" s="107"/>
      <c r="B307" s="107"/>
      <c r="C307" s="107"/>
      <c r="D307" s="107"/>
      <c r="E307" s="107"/>
    </row>
    <row r="308" ht="15.75" customHeight="1">
      <c r="A308" s="107"/>
      <c r="B308" s="107"/>
      <c r="C308" s="107"/>
      <c r="D308" s="107"/>
      <c r="E308" s="107"/>
    </row>
    <row r="309" ht="15.75" customHeight="1">
      <c r="A309" s="107"/>
      <c r="B309" s="107"/>
      <c r="C309" s="107"/>
      <c r="D309" s="107"/>
      <c r="E309" s="107"/>
    </row>
    <row r="310" ht="15.75" customHeight="1">
      <c r="A310" s="107"/>
      <c r="B310" s="107"/>
      <c r="C310" s="107"/>
      <c r="D310" s="107"/>
      <c r="E310" s="107"/>
    </row>
    <row r="311" ht="15.75" customHeight="1">
      <c r="A311" s="107"/>
      <c r="B311" s="107"/>
      <c r="C311" s="107"/>
      <c r="D311" s="107"/>
      <c r="E311" s="107"/>
    </row>
    <row r="312" ht="15.75" customHeight="1">
      <c r="A312" s="107"/>
      <c r="B312" s="107"/>
      <c r="C312" s="107"/>
      <c r="D312" s="107"/>
      <c r="E312" s="107"/>
    </row>
    <row r="313" ht="15.75" customHeight="1">
      <c r="A313" s="107"/>
      <c r="B313" s="107"/>
      <c r="C313" s="107"/>
      <c r="D313" s="107"/>
      <c r="E313" s="107"/>
    </row>
    <row r="314" ht="15.75" customHeight="1">
      <c r="A314" s="107"/>
      <c r="B314" s="107"/>
      <c r="C314" s="107"/>
      <c r="D314" s="107"/>
      <c r="E314" s="107"/>
    </row>
    <row r="315" ht="15.75" customHeight="1">
      <c r="A315" s="107"/>
      <c r="B315" s="107"/>
      <c r="C315" s="107"/>
      <c r="D315" s="107"/>
      <c r="E315" s="107"/>
    </row>
    <row r="316" ht="15.75" customHeight="1">
      <c r="A316" s="107"/>
      <c r="B316" s="107"/>
      <c r="C316" s="107"/>
      <c r="D316" s="107"/>
      <c r="E316" s="107"/>
    </row>
    <row r="317" ht="15.75" customHeight="1">
      <c r="A317" s="107"/>
      <c r="B317" s="107"/>
      <c r="C317" s="107"/>
      <c r="D317" s="107"/>
      <c r="E317" s="107"/>
    </row>
    <row r="318" ht="15.75" customHeight="1">
      <c r="A318" s="107"/>
      <c r="B318" s="107"/>
      <c r="C318" s="107"/>
      <c r="D318" s="107"/>
      <c r="E318" s="107"/>
    </row>
    <row r="319" ht="15.75" customHeight="1">
      <c r="A319" s="107"/>
      <c r="B319" s="107"/>
      <c r="C319" s="107"/>
      <c r="D319" s="107"/>
      <c r="E319" s="107"/>
    </row>
    <row r="320" ht="15.75" customHeight="1">
      <c r="A320" s="107"/>
      <c r="B320" s="107"/>
      <c r="C320" s="107"/>
      <c r="D320" s="107"/>
      <c r="E320" s="107"/>
    </row>
    <row r="321" ht="15.75" customHeight="1">
      <c r="A321" s="107"/>
      <c r="B321" s="107"/>
      <c r="C321" s="107"/>
      <c r="D321" s="107"/>
      <c r="E321" s="107"/>
    </row>
    <row r="322" ht="15.75" customHeight="1">
      <c r="A322" s="107"/>
      <c r="B322" s="107"/>
      <c r="C322" s="107"/>
      <c r="D322" s="107"/>
      <c r="E322" s="107"/>
    </row>
    <row r="323" ht="15.75" customHeight="1">
      <c r="A323" s="107"/>
      <c r="B323" s="107"/>
      <c r="C323" s="107"/>
      <c r="D323" s="107"/>
      <c r="E323" s="107"/>
    </row>
    <row r="324" ht="15.75" customHeight="1">
      <c r="A324" s="107"/>
      <c r="B324" s="107"/>
      <c r="C324" s="107"/>
      <c r="D324" s="107"/>
      <c r="E324" s="107"/>
    </row>
    <row r="325" ht="15.75" customHeight="1">
      <c r="A325" s="107"/>
      <c r="B325" s="107"/>
      <c r="C325" s="107"/>
      <c r="D325" s="107"/>
      <c r="E325" s="107"/>
    </row>
    <row r="326" ht="15.75" customHeight="1">
      <c r="A326" s="107"/>
      <c r="B326" s="107"/>
      <c r="C326" s="107"/>
      <c r="D326" s="107"/>
      <c r="E326" s="107"/>
    </row>
    <row r="327" ht="15.75" customHeight="1">
      <c r="A327" s="107"/>
      <c r="B327" s="107"/>
      <c r="C327" s="107"/>
      <c r="D327" s="107"/>
      <c r="E327" s="107"/>
    </row>
    <row r="328" ht="15.75" customHeight="1">
      <c r="A328" s="107"/>
      <c r="B328" s="107"/>
      <c r="C328" s="107"/>
      <c r="D328" s="107"/>
      <c r="E328" s="107"/>
    </row>
    <row r="329" ht="15.75" customHeight="1">
      <c r="A329" s="107"/>
      <c r="B329" s="107"/>
      <c r="C329" s="107"/>
      <c r="D329" s="107"/>
      <c r="E329" s="107"/>
    </row>
    <row r="330" ht="15.75" customHeight="1">
      <c r="A330" s="107"/>
      <c r="B330" s="107"/>
      <c r="C330" s="107"/>
      <c r="D330" s="107"/>
      <c r="E330" s="107"/>
    </row>
    <row r="331" ht="15.75" customHeight="1">
      <c r="A331" s="107"/>
      <c r="B331" s="107"/>
      <c r="C331" s="107"/>
      <c r="D331" s="107"/>
      <c r="E331" s="107"/>
    </row>
    <row r="332" ht="15.75" customHeight="1">
      <c r="A332" s="107"/>
      <c r="B332" s="107"/>
      <c r="C332" s="107"/>
      <c r="D332" s="107"/>
      <c r="E332" s="107"/>
    </row>
    <row r="333" ht="15.75" customHeight="1">
      <c r="A333" s="107"/>
      <c r="B333" s="107"/>
      <c r="C333" s="107"/>
      <c r="D333" s="107"/>
      <c r="E333" s="107"/>
    </row>
    <row r="334" ht="15.75" customHeight="1">
      <c r="A334" s="107"/>
      <c r="B334" s="107"/>
      <c r="C334" s="107"/>
      <c r="D334" s="107"/>
      <c r="E334" s="107"/>
    </row>
    <row r="335" ht="15.75" customHeight="1">
      <c r="A335" s="107"/>
      <c r="B335" s="107"/>
      <c r="C335" s="107"/>
      <c r="D335" s="107"/>
      <c r="E335" s="107"/>
    </row>
    <row r="336" ht="15.75" customHeight="1">
      <c r="A336" s="107"/>
      <c r="B336" s="107"/>
      <c r="C336" s="107"/>
      <c r="D336" s="107"/>
      <c r="E336" s="107"/>
    </row>
    <row r="337" ht="15.75" customHeight="1">
      <c r="A337" s="107"/>
      <c r="B337" s="107"/>
      <c r="C337" s="107"/>
      <c r="D337" s="107"/>
      <c r="E337" s="107"/>
    </row>
    <row r="338" ht="15.75" customHeight="1">
      <c r="A338" s="107"/>
      <c r="B338" s="107"/>
      <c r="C338" s="107"/>
      <c r="D338" s="107"/>
      <c r="E338" s="107"/>
    </row>
    <row r="339" ht="15.75" customHeight="1">
      <c r="A339" s="107"/>
      <c r="B339" s="107"/>
      <c r="C339" s="107"/>
      <c r="D339" s="107"/>
      <c r="E339" s="107"/>
    </row>
    <row r="340" ht="15.75" customHeight="1">
      <c r="A340" s="107"/>
      <c r="B340" s="107"/>
      <c r="C340" s="107"/>
      <c r="D340" s="107"/>
      <c r="E340" s="107"/>
    </row>
    <row r="341" ht="15.75" customHeight="1">
      <c r="A341" s="107"/>
      <c r="B341" s="107"/>
      <c r="C341" s="107"/>
      <c r="D341" s="107"/>
      <c r="E341" s="107"/>
    </row>
    <row r="342" ht="15.75" customHeight="1">
      <c r="A342" s="107"/>
      <c r="B342" s="107"/>
      <c r="C342" s="107"/>
      <c r="D342" s="107"/>
      <c r="E342" s="107"/>
    </row>
    <row r="343" ht="15.75" customHeight="1">
      <c r="A343" s="107"/>
      <c r="B343" s="107"/>
      <c r="C343" s="107"/>
      <c r="D343" s="107"/>
      <c r="E343" s="107"/>
    </row>
    <row r="344" ht="15.75" customHeight="1">
      <c r="A344" s="107"/>
      <c r="B344" s="107"/>
      <c r="C344" s="107"/>
      <c r="D344" s="107"/>
      <c r="E344" s="107"/>
    </row>
    <row r="345" ht="15.75" customHeight="1">
      <c r="A345" s="107"/>
      <c r="B345" s="107"/>
      <c r="C345" s="107"/>
      <c r="D345" s="107"/>
      <c r="E345" s="107"/>
    </row>
    <row r="346" ht="15.75" customHeight="1">
      <c r="A346" s="107"/>
      <c r="B346" s="107"/>
      <c r="C346" s="107"/>
      <c r="D346" s="107"/>
      <c r="E346" s="107"/>
    </row>
    <row r="347" ht="15.75" customHeight="1">
      <c r="A347" s="107"/>
      <c r="B347" s="107"/>
      <c r="C347" s="107"/>
      <c r="D347" s="107"/>
      <c r="E347" s="107"/>
    </row>
    <row r="348" ht="15.75" customHeight="1">
      <c r="A348" s="107"/>
      <c r="B348" s="107"/>
      <c r="C348" s="107"/>
      <c r="D348" s="107"/>
      <c r="E348" s="107"/>
    </row>
    <row r="349" ht="15.75" customHeight="1">
      <c r="A349" s="107"/>
      <c r="B349" s="107"/>
      <c r="C349" s="107"/>
      <c r="D349" s="107"/>
      <c r="E349" s="107"/>
    </row>
    <row r="350" ht="15.75" customHeight="1">
      <c r="A350" s="107"/>
      <c r="B350" s="107"/>
      <c r="C350" s="107"/>
      <c r="D350" s="107"/>
      <c r="E350" s="107"/>
    </row>
    <row r="351" ht="15.75" customHeight="1">
      <c r="A351" s="107"/>
      <c r="B351" s="107"/>
      <c r="C351" s="107"/>
      <c r="D351" s="107"/>
      <c r="E351" s="107"/>
    </row>
    <row r="352" ht="15.75" customHeight="1">
      <c r="A352" s="107"/>
      <c r="B352" s="107"/>
      <c r="C352" s="107"/>
      <c r="D352" s="107"/>
      <c r="E352" s="107"/>
    </row>
    <row r="353" ht="15.75" customHeight="1">
      <c r="A353" s="107"/>
      <c r="B353" s="107"/>
      <c r="C353" s="107"/>
      <c r="D353" s="107"/>
      <c r="E353" s="107"/>
    </row>
    <row r="354" ht="15.75" customHeight="1">
      <c r="A354" s="107"/>
      <c r="B354" s="107"/>
      <c r="C354" s="107"/>
      <c r="D354" s="107"/>
      <c r="E354" s="107"/>
    </row>
    <row r="355" ht="15.75" customHeight="1">
      <c r="A355" s="107"/>
      <c r="B355" s="107"/>
      <c r="C355" s="107"/>
      <c r="D355" s="107"/>
      <c r="E355" s="107"/>
    </row>
    <row r="356" ht="15.75" customHeight="1">
      <c r="A356" s="107"/>
      <c r="B356" s="107"/>
      <c r="C356" s="107"/>
      <c r="D356" s="107"/>
      <c r="E356" s="107"/>
    </row>
    <row r="357" ht="15.75" customHeight="1">
      <c r="A357" s="107"/>
      <c r="B357" s="107"/>
      <c r="C357" s="107"/>
      <c r="D357" s="107"/>
      <c r="E357" s="107"/>
    </row>
    <row r="358" ht="15.75" customHeight="1">
      <c r="A358" s="107"/>
      <c r="B358" s="107"/>
      <c r="C358" s="107"/>
      <c r="D358" s="107"/>
      <c r="E358" s="107"/>
    </row>
    <row r="359" ht="15.75" customHeight="1">
      <c r="A359" s="107"/>
      <c r="B359" s="107"/>
      <c r="C359" s="107"/>
      <c r="D359" s="107"/>
      <c r="E359" s="107"/>
    </row>
    <row r="360" ht="15.75" customHeight="1">
      <c r="A360" s="107"/>
      <c r="B360" s="107"/>
      <c r="C360" s="107"/>
      <c r="D360" s="107"/>
      <c r="E360" s="107"/>
    </row>
    <row r="361" ht="15.75" customHeight="1">
      <c r="A361" s="107"/>
      <c r="B361" s="107"/>
      <c r="C361" s="107"/>
      <c r="D361" s="107"/>
      <c r="E361" s="107"/>
    </row>
    <row r="362" ht="15.75" customHeight="1">
      <c r="A362" s="107"/>
      <c r="B362" s="107"/>
      <c r="C362" s="107"/>
      <c r="D362" s="107"/>
      <c r="E362" s="107"/>
    </row>
    <row r="363" ht="15.75" customHeight="1">
      <c r="A363" s="107"/>
      <c r="B363" s="107"/>
      <c r="C363" s="107"/>
      <c r="D363" s="107"/>
      <c r="E363" s="107"/>
    </row>
    <row r="364" ht="15.75" customHeight="1">
      <c r="A364" s="107"/>
      <c r="B364" s="107"/>
      <c r="C364" s="107"/>
      <c r="D364" s="107"/>
      <c r="E364" s="107"/>
    </row>
    <row r="365" ht="15.75" customHeight="1">
      <c r="A365" s="107"/>
      <c r="B365" s="107"/>
      <c r="C365" s="107"/>
      <c r="D365" s="107"/>
      <c r="E365" s="107"/>
    </row>
    <row r="366" ht="15.75" customHeight="1">
      <c r="A366" s="107"/>
      <c r="B366" s="107"/>
      <c r="C366" s="107"/>
      <c r="D366" s="107"/>
      <c r="E366" s="107"/>
    </row>
    <row r="367" ht="15.75" customHeight="1">
      <c r="A367" s="107"/>
      <c r="B367" s="107"/>
      <c r="C367" s="107"/>
      <c r="D367" s="107"/>
      <c r="E367" s="107"/>
    </row>
    <row r="368" ht="15.75" customHeight="1">
      <c r="A368" s="107"/>
      <c r="B368" s="107"/>
      <c r="C368" s="107"/>
      <c r="D368" s="107"/>
      <c r="E368" s="107"/>
    </row>
    <row r="369" ht="15.75" customHeight="1">
      <c r="A369" s="107"/>
      <c r="B369" s="107"/>
      <c r="C369" s="107"/>
      <c r="D369" s="107"/>
      <c r="E369" s="107"/>
    </row>
    <row r="370" ht="15.75" customHeight="1">
      <c r="A370" s="107"/>
      <c r="B370" s="107"/>
      <c r="C370" s="107"/>
      <c r="D370" s="107"/>
      <c r="E370" s="107"/>
    </row>
    <row r="371" ht="15.75" customHeight="1">
      <c r="A371" s="107"/>
      <c r="B371" s="107"/>
      <c r="C371" s="107"/>
      <c r="D371" s="107"/>
      <c r="E371" s="107"/>
    </row>
    <row r="372" ht="15.75" customHeight="1">
      <c r="A372" s="107"/>
      <c r="B372" s="107"/>
      <c r="C372" s="107"/>
      <c r="D372" s="107"/>
      <c r="E372" s="107"/>
    </row>
    <row r="373" ht="15.75" customHeight="1">
      <c r="A373" s="107"/>
      <c r="B373" s="107"/>
      <c r="C373" s="107"/>
      <c r="D373" s="107"/>
      <c r="E373" s="107"/>
    </row>
    <row r="374" ht="15.75" customHeight="1">
      <c r="A374" s="107"/>
      <c r="B374" s="107"/>
      <c r="C374" s="107"/>
      <c r="D374" s="107"/>
      <c r="E374" s="107"/>
    </row>
    <row r="375" ht="15.75" customHeight="1">
      <c r="A375" s="107"/>
      <c r="B375" s="107"/>
      <c r="C375" s="107"/>
      <c r="D375" s="107"/>
      <c r="E375" s="107"/>
    </row>
    <row r="376" ht="15.75" customHeight="1">
      <c r="A376" s="107"/>
      <c r="B376" s="107"/>
      <c r="C376" s="107"/>
      <c r="D376" s="107"/>
      <c r="E376" s="107"/>
    </row>
    <row r="377" ht="15.75" customHeight="1">
      <c r="A377" s="107"/>
      <c r="B377" s="107"/>
      <c r="C377" s="107"/>
      <c r="D377" s="107"/>
      <c r="E377" s="107"/>
    </row>
    <row r="378" ht="15.75" customHeight="1">
      <c r="A378" s="107"/>
      <c r="B378" s="107"/>
      <c r="C378" s="107"/>
      <c r="D378" s="107"/>
      <c r="E378" s="107"/>
    </row>
    <row r="379" ht="15.75" customHeight="1">
      <c r="A379" s="107"/>
      <c r="B379" s="107"/>
      <c r="C379" s="107"/>
      <c r="D379" s="107"/>
      <c r="E379" s="107"/>
    </row>
    <row r="380" ht="15.75" customHeight="1">
      <c r="A380" s="107"/>
      <c r="B380" s="107"/>
      <c r="C380" s="107"/>
      <c r="D380" s="107"/>
      <c r="E380" s="107"/>
    </row>
    <row r="381" ht="15.75" customHeight="1">
      <c r="A381" s="107"/>
      <c r="B381" s="107"/>
      <c r="C381" s="107"/>
      <c r="D381" s="107"/>
      <c r="E381" s="107"/>
    </row>
    <row r="382" ht="15.75" customHeight="1">
      <c r="A382" s="107"/>
      <c r="B382" s="107"/>
      <c r="C382" s="107"/>
      <c r="D382" s="107"/>
      <c r="E382" s="107"/>
    </row>
    <row r="383" ht="15.75" customHeight="1">
      <c r="A383" s="107"/>
      <c r="B383" s="107"/>
      <c r="C383" s="107"/>
      <c r="D383" s="107"/>
      <c r="E383" s="107"/>
    </row>
    <row r="384" ht="15.75" customHeight="1">
      <c r="A384" s="107"/>
      <c r="B384" s="107"/>
      <c r="C384" s="107"/>
      <c r="D384" s="107"/>
      <c r="E384" s="107"/>
    </row>
    <row r="385" ht="15.75" customHeight="1">
      <c r="A385" s="107"/>
      <c r="B385" s="107"/>
      <c r="C385" s="107"/>
      <c r="D385" s="107"/>
      <c r="E385" s="107"/>
    </row>
    <row r="386" ht="15.75" customHeight="1">
      <c r="A386" s="107"/>
      <c r="B386" s="107"/>
      <c r="C386" s="107"/>
      <c r="D386" s="107"/>
      <c r="E386" s="107"/>
    </row>
    <row r="387" ht="15.75" customHeight="1">
      <c r="A387" s="107"/>
      <c r="B387" s="107"/>
      <c r="C387" s="107"/>
      <c r="D387" s="107"/>
      <c r="E387" s="107"/>
    </row>
    <row r="388" ht="15.75" customHeight="1">
      <c r="A388" s="107"/>
      <c r="B388" s="107"/>
      <c r="C388" s="107"/>
      <c r="D388" s="107"/>
      <c r="E388" s="107"/>
    </row>
    <row r="389" ht="15.75" customHeight="1">
      <c r="A389" s="107"/>
      <c r="B389" s="107"/>
      <c r="C389" s="107"/>
      <c r="D389" s="107"/>
      <c r="E389" s="107"/>
    </row>
    <row r="390" ht="15.75" customHeight="1">
      <c r="A390" s="107"/>
      <c r="B390" s="107"/>
      <c r="C390" s="107"/>
      <c r="D390" s="107"/>
      <c r="E390" s="107"/>
    </row>
    <row r="391" ht="15.75" customHeight="1">
      <c r="A391" s="107"/>
      <c r="B391" s="107"/>
      <c r="C391" s="107"/>
      <c r="D391" s="107"/>
      <c r="E391" s="107"/>
    </row>
    <row r="392" ht="15.75" customHeight="1">
      <c r="A392" s="107"/>
      <c r="B392" s="107"/>
      <c r="C392" s="107"/>
      <c r="D392" s="107"/>
      <c r="E392" s="107"/>
    </row>
    <row r="393" ht="15.75" customHeight="1">
      <c r="A393" s="107"/>
      <c r="B393" s="107"/>
      <c r="C393" s="107"/>
      <c r="D393" s="107"/>
      <c r="E393" s="107"/>
    </row>
    <row r="394" ht="15.75" customHeight="1">
      <c r="A394" s="107"/>
      <c r="B394" s="107"/>
      <c r="C394" s="107"/>
      <c r="D394" s="107"/>
      <c r="E394" s="107"/>
    </row>
    <row r="395" ht="15.75" customHeight="1">
      <c r="A395" s="107"/>
      <c r="B395" s="107"/>
      <c r="C395" s="107"/>
      <c r="D395" s="107"/>
      <c r="E395" s="107"/>
    </row>
    <row r="396" ht="15.75" customHeight="1">
      <c r="A396" s="107"/>
      <c r="B396" s="107"/>
      <c r="C396" s="107"/>
      <c r="D396" s="107"/>
      <c r="E396" s="107"/>
    </row>
    <row r="397" ht="15.75" customHeight="1">
      <c r="A397" s="107"/>
      <c r="B397" s="107"/>
      <c r="C397" s="107"/>
      <c r="D397" s="107"/>
      <c r="E397" s="107"/>
    </row>
    <row r="398" ht="15.75" customHeight="1">
      <c r="A398" s="107"/>
      <c r="B398" s="107"/>
      <c r="C398" s="107"/>
      <c r="D398" s="107"/>
      <c r="E398" s="107"/>
    </row>
    <row r="399" ht="15.75" customHeight="1">
      <c r="A399" s="107"/>
      <c r="B399" s="107"/>
      <c r="C399" s="107"/>
      <c r="D399" s="107"/>
      <c r="E399" s="107"/>
    </row>
    <row r="400" ht="15.75" customHeight="1">
      <c r="A400" s="107"/>
      <c r="B400" s="107"/>
      <c r="C400" s="107"/>
      <c r="D400" s="107"/>
      <c r="E400" s="107"/>
    </row>
    <row r="401" ht="15.75" customHeight="1">
      <c r="A401" s="107"/>
      <c r="B401" s="107"/>
      <c r="C401" s="107"/>
      <c r="D401" s="107"/>
      <c r="E401" s="107"/>
    </row>
    <row r="402" ht="15.75" customHeight="1">
      <c r="A402" s="107"/>
      <c r="B402" s="107"/>
      <c r="C402" s="107"/>
      <c r="D402" s="107"/>
      <c r="E402" s="107"/>
    </row>
    <row r="403" ht="15.75" customHeight="1">
      <c r="A403" s="107"/>
      <c r="B403" s="107"/>
      <c r="C403" s="107"/>
      <c r="D403" s="107"/>
      <c r="E403" s="107"/>
    </row>
    <row r="404" ht="15.75" customHeight="1">
      <c r="A404" s="107"/>
      <c r="B404" s="107"/>
      <c r="C404" s="107"/>
      <c r="D404" s="107"/>
      <c r="E404" s="107"/>
    </row>
    <row r="405" ht="15.75" customHeight="1">
      <c r="A405" s="107"/>
      <c r="B405" s="107"/>
      <c r="C405" s="107"/>
      <c r="D405" s="107"/>
      <c r="E405" s="107"/>
    </row>
    <row r="406" ht="15.75" customHeight="1">
      <c r="A406" s="107"/>
      <c r="B406" s="107"/>
      <c r="C406" s="107"/>
      <c r="D406" s="107"/>
      <c r="E406" s="107"/>
    </row>
    <row r="407" ht="15.75" customHeight="1">
      <c r="A407" s="107"/>
      <c r="B407" s="107"/>
      <c r="C407" s="107"/>
      <c r="D407" s="107"/>
      <c r="E407" s="107"/>
    </row>
    <row r="408" ht="15.75" customHeight="1">
      <c r="A408" s="107"/>
      <c r="B408" s="107"/>
      <c r="C408" s="107"/>
      <c r="D408" s="107"/>
      <c r="E408" s="107"/>
    </row>
    <row r="409" ht="15.75" customHeight="1">
      <c r="A409" s="107"/>
      <c r="B409" s="107"/>
      <c r="C409" s="107"/>
      <c r="D409" s="107"/>
      <c r="E409" s="107"/>
    </row>
    <row r="410" ht="15.75" customHeight="1">
      <c r="A410" s="107"/>
      <c r="B410" s="107"/>
      <c r="C410" s="107"/>
      <c r="D410" s="107"/>
      <c r="E410" s="107"/>
    </row>
    <row r="411" ht="15.75" customHeight="1">
      <c r="A411" s="107"/>
      <c r="B411" s="107"/>
      <c r="C411" s="107"/>
      <c r="D411" s="107"/>
      <c r="E411" s="107"/>
    </row>
    <row r="412" ht="15.75" customHeight="1">
      <c r="A412" s="107"/>
      <c r="B412" s="107"/>
      <c r="C412" s="107"/>
      <c r="D412" s="107"/>
      <c r="E412" s="107"/>
    </row>
    <row r="413" ht="15.75" customHeight="1">
      <c r="A413" s="107"/>
      <c r="B413" s="107"/>
      <c r="C413" s="107"/>
      <c r="D413" s="107"/>
      <c r="E413" s="107"/>
    </row>
    <row r="414" ht="15.75" customHeight="1">
      <c r="A414" s="107"/>
      <c r="B414" s="107"/>
      <c r="C414" s="107"/>
      <c r="D414" s="107"/>
      <c r="E414" s="107"/>
    </row>
    <row r="415" ht="15.75" customHeight="1">
      <c r="A415" s="107"/>
      <c r="B415" s="107"/>
      <c r="C415" s="107"/>
      <c r="D415" s="107"/>
      <c r="E415" s="107"/>
    </row>
    <row r="416" ht="15.75" customHeight="1">
      <c r="A416" s="107"/>
      <c r="B416" s="107"/>
      <c r="C416" s="107"/>
      <c r="D416" s="107"/>
      <c r="E416" s="107"/>
    </row>
    <row r="417" ht="15.75" customHeight="1">
      <c r="A417" s="107"/>
      <c r="B417" s="107"/>
      <c r="C417" s="107"/>
      <c r="D417" s="107"/>
      <c r="E417" s="107"/>
    </row>
    <row r="418" ht="15.75" customHeight="1">
      <c r="A418" s="107"/>
      <c r="B418" s="107"/>
      <c r="C418" s="107"/>
      <c r="D418" s="107"/>
      <c r="E418" s="107"/>
    </row>
    <row r="419" ht="15.75" customHeight="1">
      <c r="A419" s="107"/>
      <c r="B419" s="107"/>
      <c r="C419" s="107"/>
      <c r="D419" s="107"/>
      <c r="E419" s="107"/>
    </row>
    <row r="420" ht="15.75" customHeight="1">
      <c r="A420" s="107"/>
      <c r="B420" s="107"/>
      <c r="C420" s="107"/>
      <c r="D420" s="107"/>
      <c r="E420" s="107"/>
    </row>
    <row r="421" ht="15.75" customHeight="1">
      <c r="A421" s="107"/>
      <c r="B421" s="107"/>
      <c r="C421" s="107"/>
      <c r="D421" s="107"/>
      <c r="E421" s="107"/>
    </row>
    <row r="422" ht="15.75" customHeight="1">
      <c r="A422" s="107"/>
      <c r="B422" s="107"/>
      <c r="C422" s="107"/>
      <c r="D422" s="107"/>
      <c r="E422" s="107"/>
    </row>
    <row r="423" ht="15.75" customHeight="1">
      <c r="A423" s="107"/>
      <c r="B423" s="107"/>
      <c r="C423" s="107"/>
      <c r="D423" s="107"/>
      <c r="E423" s="107"/>
    </row>
    <row r="424" ht="15.75" customHeight="1">
      <c r="A424" s="107"/>
      <c r="B424" s="107"/>
      <c r="C424" s="107"/>
      <c r="D424" s="107"/>
      <c r="E424" s="107"/>
    </row>
    <row r="425" ht="15.75" customHeight="1">
      <c r="A425" s="107"/>
      <c r="B425" s="107"/>
      <c r="C425" s="107"/>
      <c r="D425" s="107"/>
      <c r="E425" s="107"/>
    </row>
    <row r="426" ht="15.75" customHeight="1">
      <c r="A426" s="107"/>
      <c r="B426" s="107"/>
      <c r="C426" s="107"/>
      <c r="D426" s="107"/>
      <c r="E426" s="107"/>
    </row>
    <row r="427" ht="15.75" customHeight="1">
      <c r="A427" s="107"/>
      <c r="B427" s="107"/>
      <c r="C427" s="107"/>
      <c r="D427" s="107"/>
      <c r="E427" s="107"/>
    </row>
    <row r="428" ht="15.75" customHeight="1">
      <c r="A428" s="107"/>
      <c r="B428" s="107"/>
      <c r="C428" s="107"/>
      <c r="D428" s="107"/>
      <c r="E428" s="107"/>
    </row>
    <row r="429" ht="15.75" customHeight="1">
      <c r="A429" s="107"/>
      <c r="B429" s="107"/>
      <c r="C429" s="107"/>
      <c r="D429" s="107"/>
      <c r="E429" s="107"/>
    </row>
    <row r="430" ht="15.75" customHeight="1">
      <c r="A430" s="107"/>
      <c r="B430" s="107"/>
      <c r="C430" s="107"/>
      <c r="D430" s="107"/>
      <c r="E430" s="107"/>
    </row>
    <row r="431" ht="15.75" customHeight="1">
      <c r="A431" s="107"/>
      <c r="B431" s="107"/>
      <c r="C431" s="107"/>
      <c r="D431" s="107"/>
      <c r="E431" s="107"/>
    </row>
    <row r="432" ht="15.75" customHeight="1">
      <c r="A432" s="107"/>
      <c r="B432" s="107"/>
      <c r="C432" s="107"/>
      <c r="D432" s="107"/>
      <c r="E432" s="107"/>
    </row>
    <row r="433" ht="15.75" customHeight="1">
      <c r="A433" s="107"/>
      <c r="B433" s="107"/>
      <c r="C433" s="107"/>
      <c r="D433" s="107"/>
      <c r="E433" s="107"/>
    </row>
    <row r="434" ht="15.75" customHeight="1">
      <c r="A434" s="107"/>
      <c r="B434" s="107"/>
      <c r="C434" s="107"/>
      <c r="D434" s="107"/>
      <c r="E434" s="107"/>
    </row>
    <row r="435" ht="15.75" customHeight="1">
      <c r="A435" s="107"/>
      <c r="B435" s="107"/>
      <c r="C435" s="107"/>
      <c r="D435" s="107"/>
      <c r="E435" s="107"/>
    </row>
    <row r="436" ht="15.75" customHeight="1">
      <c r="A436" s="107"/>
      <c r="B436" s="107"/>
      <c r="C436" s="107"/>
      <c r="D436" s="107"/>
      <c r="E436" s="107"/>
    </row>
    <row r="437" ht="15.75" customHeight="1">
      <c r="A437" s="107"/>
      <c r="B437" s="107"/>
      <c r="C437" s="107"/>
      <c r="D437" s="107"/>
      <c r="E437" s="107"/>
    </row>
    <row r="438" ht="15.75" customHeight="1">
      <c r="A438" s="107"/>
      <c r="B438" s="107"/>
      <c r="C438" s="107"/>
      <c r="D438" s="107"/>
      <c r="E438" s="107"/>
    </row>
    <row r="439" ht="15.75" customHeight="1">
      <c r="A439" s="107"/>
      <c r="B439" s="107"/>
      <c r="C439" s="107"/>
      <c r="D439" s="107"/>
      <c r="E439" s="107"/>
    </row>
    <row r="440" ht="15.75" customHeight="1">
      <c r="A440" s="107"/>
      <c r="B440" s="107"/>
      <c r="C440" s="107"/>
      <c r="D440" s="107"/>
      <c r="E440" s="107"/>
    </row>
    <row r="441" ht="15.75" customHeight="1">
      <c r="A441" s="107"/>
      <c r="B441" s="107"/>
      <c r="C441" s="107"/>
      <c r="D441" s="107"/>
      <c r="E441" s="107"/>
    </row>
    <row r="442" ht="15.75" customHeight="1">
      <c r="A442" s="107"/>
      <c r="B442" s="107"/>
      <c r="C442" s="107"/>
      <c r="D442" s="107"/>
      <c r="E442" s="107"/>
    </row>
    <row r="443" ht="15.75" customHeight="1">
      <c r="A443" s="107"/>
      <c r="B443" s="107"/>
      <c r="C443" s="107"/>
      <c r="D443" s="107"/>
      <c r="E443" s="107"/>
    </row>
    <row r="444" ht="15.75" customHeight="1">
      <c r="A444" s="107"/>
      <c r="B444" s="107"/>
      <c r="C444" s="107"/>
      <c r="D444" s="107"/>
      <c r="E444" s="107"/>
    </row>
    <row r="445" ht="15.75" customHeight="1">
      <c r="A445" s="107"/>
      <c r="B445" s="107"/>
      <c r="C445" s="107"/>
      <c r="D445" s="107"/>
      <c r="E445" s="107"/>
    </row>
    <row r="446" ht="15.75" customHeight="1">
      <c r="A446" s="107"/>
      <c r="B446" s="107"/>
      <c r="C446" s="107"/>
      <c r="D446" s="107"/>
      <c r="E446" s="107"/>
    </row>
    <row r="447" ht="15.75" customHeight="1">
      <c r="A447" s="107"/>
      <c r="B447" s="107"/>
      <c r="C447" s="107"/>
      <c r="D447" s="107"/>
      <c r="E447" s="107"/>
    </row>
    <row r="448" ht="15.75" customHeight="1">
      <c r="A448" s="107"/>
      <c r="B448" s="107"/>
      <c r="C448" s="107"/>
      <c r="D448" s="107"/>
      <c r="E448" s="107"/>
    </row>
    <row r="449" ht="15.75" customHeight="1">
      <c r="A449" s="107"/>
      <c r="B449" s="107"/>
      <c r="C449" s="107"/>
      <c r="D449" s="107"/>
      <c r="E449" s="107"/>
    </row>
    <row r="450" ht="15.75" customHeight="1">
      <c r="A450" s="107"/>
      <c r="B450" s="107"/>
      <c r="C450" s="107"/>
      <c r="D450" s="107"/>
      <c r="E450" s="107"/>
    </row>
    <row r="451" ht="15.75" customHeight="1">
      <c r="A451" s="107"/>
      <c r="B451" s="107"/>
      <c r="C451" s="107"/>
      <c r="D451" s="107"/>
      <c r="E451" s="107"/>
    </row>
    <row r="452" ht="15.75" customHeight="1">
      <c r="A452" s="107"/>
      <c r="B452" s="107"/>
      <c r="C452" s="107"/>
      <c r="D452" s="107"/>
      <c r="E452" s="107"/>
    </row>
    <row r="453" ht="15.75" customHeight="1">
      <c r="A453" s="107"/>
      <c r="B453" s="107"/>
      <c r="C453" s="107"/>
      <c r="D453" s="107"/>
      <c r="E453" s="107"/>
    </row>
    <row r="454" ht="15.75" customHeight="1">
      <c r="A454" s="107"/>
      <c r="B454" s="107"/>
      <c r="C454" s="107"/>
      <c r="D454" s="107"/>
      <c r="E454" s="107"/>
    </row>
    <row r="455" ht="15.75" customHeight="1">
      <c r="A455" s="107"/>
      <c r="B455" s="107"/>
      <c r="C455" s="107"/>
      <c r="D455" s="107"/>
      <c r="E455" s="107"/>
    </row>
    <row r="456" ht="15.75" customHeight="1">
      <c r="A456" s="107"/>
      <c r="B456" s="107"/>
      <c r="C456" s="107"/>
      <c r="D456" s="107"/>
      <c r="E456" s="107"/>
    </row>
    <row r="457" ht="15.75" customHeight="1">
      <c r="A457" s="107"/>
      <c r="B457" s="107"/>
      <c r="C457" s="107"/>
      <c r="D457" s="107"/>
      <c r="E457" s="107"/>
    </row>
    <row r="458" ht="15.75" customHeight="1">
      <c r="A458" s="107"/>
      <c r="B458" s="107"/>
      <c r="C458" s="107"/>
      <c r="D458" s="107"/>
      <c r="E458" s="107"/>
    </row>
    <row r="459" ht="15.75" customHeight="1">
      <c r="A459" s="107"/>
      <c r="B459" s="107"/>
      <c r="C459" s="107"/>
      <c r="D459" s="107"/>
      <c r="E459" s="107"/>
    </row>
    <row r="460" ht="15.75" customHeight="1">
      <c r="A460" s="107"/>
      <c r="B460" s="107"/>
      <c r="C460" s="107"/>
      <c r="D460" s="107"/>
      <c r="E460" s="107"/>
    </row>
    <row r="461" ht="15.75" customHeight="1">
      <c r="A461" s="107"/>
      <c r="B461" s="107"/>
      <c r="C461" s="107"/>
      <c r="D461" s="107"/>
      <c r="E461" s="107"/>
    </row>
    <row r="462" ht="15.75" customHeight="1">
      <c r="A462" s="107"/>
      <c r="B462" s="107"/>
      <c r="C462" s="107"/>
      <c r="D462" s="107"/>
      <c r="E462" s="107"/>
    </row>
    <row r="463" ht="15.75" customHeight="1">
      <c r="A463" s="107"/>
      <c r="B463" s="107"/>
      <c r="C463" s="107"/>
      <c r="D463" s="107"/>
      <c r="E463" s="107"/>
    </row>
    <row r="464" ht="15.75" customHeight="1">
      <c r="A464" s="107"/>
      <c r="B464" s="107"/>
      <c r="C464" s="107"/>
      <c r="D464" s="107"/>
      <c r="E464" s="107"/>
    </row>
    <row r="465" ht="15.75" customHeight="1">
      <c r="A465" s="107"/>
      <c r="B465" s="107"/>
      <c r="C465" s="107"/>
      <c r="D465" s="107"/>
      <c r="E465" s="107"/>
    </row>
    <row r="466" ht="15.75" customHeight="1">
      <c r="A466" s="107"/>
      <c r="B466" s="107"/>
      <c r="C466" s="107"/>
      <c r="D466" s="107"/>
      <c r="E466" s="107"/>
    </row>
    <row r="467" ht="15.75" customHeight="1">
      <c r="A467" s="107"/>
      <c r="B467" s="107"/>
      <c r="C467" s="107"/>
      <c r="D467" s="107"/>
      <c r="E467" s="107"/>
    </row>
    <row r="468" ht="15.75" customHeight="1">
      <c r="A468" s="107"/>
      <c r="B468" s="107"/>
      <c r="C468" s="107"/>
      <c r="D468" s="107"/>
      <c r="E468" s="107"/>
    </row>
    <row r="469" ht="15.75" customHeight="1">
      <c r="A469" s="107"/>
      <c r="B469" s="107"/>
      <c r="C469" s="107"/>
      <c r="D469" s="107"/>
      <c r="E469" s="107"/>
    </row>
    <row r="470" ht="15.75" customHeight="1">
      <c r="A470" s="107"/>
      <c r="B470" s="107"/>
      <c r="C470" s="107"/>
      <c r="D470" s="107"/>
      <c r="E470" s="107"/>
    </row>
    <row r="471" ht="15.75" customHeight="1">
      <c r="A471" s="107"/>
      <c r="B471" s="107"/>
      <c r="C471" s="107"/>
      <c r="D471" s="107"/>
      <c r="E471" s="107"/>
    </row>
    <row r="472" ht="15.75" customHeight="1">
      <c r="A472" s="107"/>
      <c r="B472" s="107"/>
      <c r="C472" s="107"/>
      <c r="D472" s="107"/>
      <c r="E472" s="107"/>
    </row>
    <row r="473" ht="15.75" customHeight="1">
      <c r="A473" s="107"/>
      <c r="B473" s="107"/>
      <c r="C473" s="107"/>
      <c r="D473" s="107"/>
      <c r="E473" s="107"/>
    </row>
    <row r="474" ht="15.75" customHeight="1">
      <c r="A474" s="107"/>
      <c r="B474" s="107"/>
      <c r="C474" s="107"/>
      <c r="D474" s="107"/>
      <c r="E474" s="107"/>
    </row>
    <row r="475" ht="15.75" customHeight="1">
      <c r="A475" s="107"/>
      <c r="B475" s="107"/>
      <c r="C475" s="107"/>
      <c r="D475" s="107"/>
      <c r="E475" s="107"/>
    </row>
    <row r="476" ht="15.75" customHeight="1">
      <c r="A476" s="107"/>
      <c r="B476" s="107"/>
      <c r="C476" s="107"/>
      <c r="D476" s="107"/>
      <c r="E476" s="107"/>
    </row>
    <row r="477" ht="15.75" customHeight="1">
      <c r="A477" s="107"/>
      <c r="B477" s="107"/>
      <c r="C477" s="107"/>
      <c r="D477" s="107"/>
      <c r="E477" s="107"/>
    </row>
    <row r="478" ht="15.75" customHeight="1">
      <c r="A478" s="107"/>
      <c r="B478" s="107"/>
      <c r="C478" s="107"/>
      <c r="D478" s="107"/>
      <c r="E478" s="107"/>
    </row>
    <row r="479" ht="15.75" customHeight="1">
      <c r="A479" s="107"/>
      <c r="B479" s="107"/>
      <c r="C479" s="107"/>
      <c r="D479" s="107"/>
      <c r="E479" s="107"/>
    </row>
    <row r="480" ht="15.75" customHeight="1">
      <c r="A480" s="107"/>
      <c r="B480" s="107"/>
      <c r="C480" s="107"/>
      <c r="D480" s="107"/>
      <c r="E480" s="107"/>
    </row>
    <row r="481" ht="15.75" customHeight="1">
      <c r="A481" s="107"/>
      <c r="B481" s="107"/>
      <c r="C481" s="107"/>
      <c r="D481" s="107"/>
      <c r="E481" s="107"/>
    </row>
    <row r="482" ht="15.75" customHeight="1">
      <c r="A482" s="107"/>
      <c r="B482" s="107"/>
      <c r="C482" s="107"/>
      <c r="D482" s="107"/>
      <c r="E482" s="107"/>
    </row>
    <row r="483" ht="15.75" customHeight="1">
      <c r="A483" s="107"/>
      <c r="B483" s="107"/>
      <c r="C483" s="107"/>
      <c r="D483" s="107"/>
      <c r="E483" s="107"/>
    </row>
    <row r="484" ht="15.75" customHeight="1">
      <c r="A484" s="107"/>
      <c r="B484" s="107"/>
      <c r="C484" s="107"/>
      <c r="D484" s="107"/>
      <c r="E484" s="107"/>
    </row>
    <row r="485" ht="15.75" customHeight="1">
      <c r="A485" s="107"/>
      <c r="B485" s="107"/>
      <c r="C485" s="107"/>
      <c r="D485" s="107"/>
      <c r="E485" s="107"/>
    </row>
    <row r="486" ht="15.75" customHeight="1">
      <c r="A486" s="107"/>
      <c r="B486" s="107"/>
      <c r="C486" s="107"/>
      <c r="D486" s="107"/>
      <c r="E486" s="107"/>
    </row>
    <row r="487" ht="15.75" customHeight="1">
      <c r="A487" s="107"/>
      <c r="B487" s="107"/>
      <c r="C487" s="107"/>
      <c r="D487" s="107"/>
      <c r="E487" s="107"/>
    </row>
    <row r="488" ht="15.75" customHeight="1">
      <c r="A488" s="107"/>
      <c r="B488" s="107"/>
      <c r="C488" s="107"/>
      <c r="D488" s="107"/>
      <c r="E488" s="107"/>
    </row>
    <row r="489" ht="15.75" customHeight="1">
      <c r="A489" s="107"/>
      <c r="B489" s="107"/>
      <c r="C489" s="107"/>
      <c r="D489" s="107"/>
      <c r="E489" s="107"/>
    </row>
    <row r="490" ht="15.75" customHeight="1">
      <c r="A490" s="107"/>
      <c r="B490" s="107"/>
      <c r="C490" s="107"/>
      <c r="D490" s="107"/>
      <c r="E490" s="107"/>
    </row>
    <row r="491" ht="15.75" customHeight="1">
      <c r="A491" s="107"/>
      <c r="B491" s="107"/>
      <c r="C491" s="107"/>
      <c r="D491" s="107"/>
      <c r="E491" s="107"/>
    </row>
    <row r="492" ht="15.75" customHeight="1">
      <c r="A492" s="107"/>
      <c r="B492" s="107"/>
      <c r="C492" s="107"/>
      <c r="D492" s="107"/>
      <c r="E492" s="107"/>
    </row>
    <row r="493" ht="15.75" customHeight="1">
      <c r="A493" s="107"/>
      <c r="B493" s="107"/>
      <c r="C493" s="107"/>
      <c r="D493" s="107"/>
      <c r="E493" s="107"/>
    </row>
    <row r="494" ht="15.75" customHeight="1">
      <c r="A494" s="107"/>
      <c r="B494" s="107"/>
      <c r="C494" s="107"/>
      <c r="D494" s="107"/>
      <c r="E494" s="107"/>
    </row>
    <row r="495" ht="15.75" customHeight="1">
      <c r="A495" s="107"/>
      <c r="B495" s="107"/>
      <c r="C495" s="107"/>
      <c r="D495" s="107"/>
      <c r="E495" s="107"/>
    </row>
    <row r="496" ht="15.75" customHeight="1">
      <c r="A496" s="107"/>
      <c r="B496" s="107"/>
      <c r="C496" s="107"/>
      <c r="D496" s="107"/>
      <c r="E496" s="107"/>
    </row>
    <row r="497" ht="15.75" customHeight="1">
      <c r="A497" s="107"/>
      <c r="B497" s="107"/>
      <c r="C497" s="107"/>
      <c r="D497" s="107"/>
      <c r="E497" s="107"/>
    </row>
    <row r="498" ht="15.75" customHeight="1">
      <c r="A498" s="107"/>
      <c r="B498" s="107"/>
      <c r="C498" s="107"/>
      <c r="D498" s="107"/>
      <c r="E498" s="107"/>
    </row>
    <row r="499" ht="15.75" customHeight="1">
      <c r="A499" s="107"/>
      <c r="B499" s="107"/>
      <c r="C499" s="107"/>
      <c r="D499" s="107"/>
      <c r="E499" s="107"/>
    </row>
    <row r="500" ht="15.75" customHeight="1">
      <c r="A500" s="107"/>
      <c r="B500" s="107"/>
      <c r="C500" s="107"/>
      <c r="D500" s="107"/>
      <c r="E500" s="107"/>
    </row>
    <row r="501" ht="15.75" customHeight="1">
      <c r="A501" s="107"/>
      <c r="B501" s="107"/>
      <c r="C501" s="107"/>
      <c r="D501" s="107"/>
      <c r="E501" s="107"/>
    </row>
    <row r="502" ht="15.75" customHeight="1">
      <c r="A502" s="107"/>
      <c r="B502" s="107"/>
      <c r="C502" s="107"/>
      <c r="D502" s="107"/>
      <c r="E502" s="107"/>
    </row>
    <row r="503" ht="15.75" customHeight="1">
      <c r="A503" s="107"/>
      <c r="B503" s="107"/>
      <c r="C503" s="107"/>
      <c r="D503" s="107"/>
      <c r="E503" s="107"/>
    </row>
    <row r="504" ht="15.75" customHeight="1">
      <c r="A504" s="107"/>
      <c r="B504" s="107"/>
      <c r="C504" s="107"/>
      <c r="D504" s="107"/>
      <c r="E504" s="107"/>
    </row>
    <row r="505" ht="15.75" customHeight="1">
      <c r="A505" s="107"/>
      <c r="B505" s="107"/>
      <c r="C505" s="107"/>
      <c r="D505" s="107"/>
      <c r="E505" s="107"/>
    </row>
    <row r="506" ht="15.75" customHeight="1">
      <c r="A506" s="107"/>
      <c r="B506" s="107"/>
      <c r="C506" s="107"/>
      <c r="D506" s="107"/>
      <c r="E506" s="107"/>
    </row>
    <row r="507" ht="15.75" customHeight="1">
      <c r="A507" s="107"/>
      <c r="B507" s="107"/>
      <c r="C507" s="107"/>
      <c r="D507" s="107"/>
      <c r="E507" s="107"/>
    </row>
    <row r="508" ht="15.75" customHeight="1">
      <c r="A508" s="107"/>
      <c r="B508" s="107"/>
      <c r="C508" s="107"/>
      <c r="D508" s="107"/>
      <c r="E508" s="107"/>
    </row>
    <row r="509" ht="15.75" customHeight="1">
      <c r="A509" s="107"/>
      <c r="B509" s="107"/>
      <c r="C509" s="107"/>
      <c r="D509" s="107"/>
      <c r="E509" s="107"/>
    </row>
    <row r="510" ht="15.75" customHeight="1">
      <c r="A510" s="107"/>
      <c r="B510" s="107"/>
      <c r="C510" s="107"/>
      <c r="D510" s="107"/>
      <c r="E510" s="107"/>
    </row>
    <row r="511" ht="15.75" customHeight="1">
      <c r="A511" s="107"/>
      <c r="B511" s="107"/>
      <c r="C511" s="107"/>
      <c r="D511" s="107"/>
      <c r="E511" s="107"/>
    </row>
    <row r="512" ht="15.75" customHeight="1">
      <c r="A512" s="107"/>
      <c r="B512" s="107"/>
      <c r="C512" s="107"/>
      <c r="D512" s="107"/>
      <c r="E512" s="107"/>
    </row>
    <row r="513" ht="15.75" customHeight="1">
      <c r="A513" s="107"/>
      <c r="B513" s="107"/>
      <c r="C513" s="107"/>
      <c r="D513" s="107"/>
      <c r="E513" s="107"/>
    </row>
    <row r="514" ht="15.75" customHeight="1">
      <c r="A514" s="107"/>
      <c r="B514" s="107"/>
      <c r="C514" s="107"/>
      <c r="D514" s="107"/>
      <c r="E514" s="107"/>
    </row>
    <row r="515" ht="15.75" customHeight="1">
      <c r="A515" s="107"/>
      <c r="B515" s="107"/>
      <c r="C515" s="107"/>
      <c r="D515" s="107"/>
      <c r="E515" s="107"/>
    </row>
    <row r="516" ht="15.75" customHeight="1">
      <c r="A516" s="107"/>
      <c r="B516" s="107"/>
      <c r="C516" s="107"/>
      <c r="D516" s="107"/>
      <c r="E516" s="107"/>
    </row>
    <row r="517" ht="15.75" customHeight="1">
      <c r="A517" s="107"/>
      <c r="B517" s="107"/>
      <c r="C517" s="107"/>
      <c r="D517" s="107"/>
      <c r="E517" s="107"/>
    </row>
    <row r="518" ht="15.75" customHeight="1">
      <c r="A518" s="107"/>
      <c r="B518" s="107"/>
      <c r="C518" s="107"/>
      <c r="D518" s="107"/>
      <c r="E518" s="107"/>
    </row>
    <row r="519" ht="15.75" customHeight="1">
      <c r="A519" s="107"/>
      <c r="B519" s="107"/>
      <c r="C519" s="107"/>
      <c r="D519" s="107"/>
      <c r="E519" s="107"/>
    </row>
    <row r="520" ht="15.75" customHeight="1">
      <c r="A520" s="107"/>
      <c r="B520" s="107"/>
      <c r="C520" s="107"/>
      <c r="D520" s="107"/>
      <c r="E520" s="107"/>
    </row>
    <row r="521" ht="15.75" customHeight="1">
      <c r="A521" s="107"/>
      <c r="B521" s="107"/>
      <c r="C521" s="107"/>
      <c r="D521" s="107"/>
      <c r="E521" s="107"/>
    </row>
    <row r="522" ht="15.75" customHeight="1">
      <c r="A522" s="107"/>
      <c r="B522" s="107"/>
      <c r="C522" s="107"/>
      <c r="D522" s="107"/>
      <c r="E522" s="107"/>
    </row>
    <row r="523" ht="15.75" customHeight="1">
      <c r="A523" s="107"/>
      <c r="B523" s="107"/>
      <c r="C523" s="107"/>
      <c r="D523" s="107"/>
      <c r="E523" s="107"/>
    </row>
    <row r="524" ht="15.75" customHeight="1">
      <c r="A524" s="107"/>
      <c r="B524" s="107"/>
      <c r="C524" s="107"/>
      <c r="D524" s="107"/>
      <c r="E524" s="107"/>
    </row>
    <row r="525" ht="15.75" customHeight="1">
      <c r="A525" s="107"/>
      <c r="B525" s="107"/>
      <c r="C525" s="107"/>
      <c r="D525" s="107"/>
      <c r="E525" s="107"/>
    </row>
    <row r="526" ht="15.75" customHeight="1">
      <c r="A526" s="107"/>
      <c r="B526" s="107"/>
      <c r="C526" s="107"/>
      <c r="D526" s="107"/>
      <c r="E526" s="107"/>
    </row>
    <row r="527" ht="15.75" customHeight="1">
      <c r="A527" s="107"/>
      <c r="B527" s="107"/>
      <c r="C527" s="107"/>
      <c r="D527" s="107"/>
      <c r="E527" s="107"/>
    </row>
    <row r="528" ht="15.75" customHeight="1">
      <c r="A528" s="107"/>
      <c r="B528" s="107"/>
      <c r="C528" s="107"/>
      <c r="D528" s="107"/>
      <c r="E528" s="107"/>
    </row>
    <row r="529" ht="15.75" customHeight="1">
      <c r="A529" s="107"/>
      <c r="B529" s="107"/>
      <c r="C529" s="107"/>
      <c r="D529" s="107"/>
      <c r="E529" s="107"/>
    </row>
    <row r="530" ht="15.75" customHeight="1">
      <c r="A530" s="107"/>
      <c r="B530" s="107"/>
      <c r="C530" s="107"/>
      <c r="D530" s="107"/>
      <c r="E530" s="107"/>
    </row>
    <row r="531" ht="15.75" customHeight="1">
      <c r="A531" s="107"/>
      <c r="B531" s="107"/>
      <c r="C531" s="107"/>
      <c r="D531" s="107"/>
      <c r="E531" s="107"/>
    </row>
    <row r="532" ht="15.75" customHeight="1">
      <c r="A532" s="107"/>
      <c r="B532" s="107"/>
      <c r="C532" s="107"/>
      <c r="D532" s="107"/>
      <c r="E532" s="107"/>
    </row>
    <row r="533" ht="15.75" customHeight="1">
      <c r="A533" s="107"/>
      <c r="B533" s="107"/>
      <c r="C533" s="107"/>
      <c r="D533" s="107"/>
      <c r="E533" s="107"/>
    </row>
    <row r="534" ht="15.75" customHeight="1">
      <c r="A534" s="107"/>
      <c r="B534" s="107"/>
      <c r="C534" s="107"/>
      <c r="D534" s="107"/>
      <c r="E534" s="107"/>
    </row>
    <row r="535" ht="15.75" customHeight="1">
      <c r="A535" s="107"/>
      <c r="B535" s="107"/>
      <c r="C535" s="107"/>
      <c r="D535" s="107"/>
      <c r="E535" s="107"/>
    </row>
    <row r="536" ht="15.75" customHeight="1">
      <c r="A536" s="107"/>
      <c r="B536" s="107"/>
      <c r="C536" s="107"/>
      <c r="D536" s="107"/>
      <c r="E536" s="107"/>
    </row>
    <row r="537" ht="15.75" customHeight="1">
      <c r="A537" s="107"/>
      <c r="B537" s="107"/>
      <c r="C537" s="107"/>
      <c r="D537" s="107"/>
      <c r="E537" s="107"/>
    </row>
    <row r="538" ht="15.75" customHeight="1">
      <c r="A538" s="107"/>
      <c r="B538" s="107"/>
      <c r="C538" s="107"/>
      <c r="D538" s="107"/>
      <c r="E538" s="107"/>
    </row>
    <row r="539" ht="15.75" customHeight="1">
      <c r="A539" s="107"/>
      <c r="B539" s="107"/>
      <c r="C539" s="107"/>
      <c r="D539" s="107"/>
      <c r="E539" s="107"/>
    </row>
    <row r="540" ht="15.75" customHeight="1">
      <c r="A540" s="107"/>
      <c r="B540" s="107"/>
      <c r="C540" s="107"/>
      <c r="D540" s="107"/>
      <c r="E540" s="107"/>
    </row>
    <row r="541" ht="15.75" customHeight="1">
      <c r="A541" s="107"/>
      <c r="B541" s="107"/>
      <c r="C541" s="107"/>
      <c r="D541" s="107"/>
      <c r="E541" s="107"/>
    </row>
    <row r="542" ht="15.75" customHeight="1">
      <c r="A542" s="107"/>
      <c r="B542" s="107"/>
      <c r="C542" s="107"/>
      <c r="D542" s="107"/>
      <c r="E542" s="107"/>
    </row>
    <row r="543" ht="15.75" customHeight="1">
      <c r="A543" s="107"/>
      <c r="B543" s="107"/>
      <c r="C543" s="107"/>
      <c r="D543" s="107"/>
      <c r="E543" s="107"/>
    </row>
    <row r="544" ht="15.75" customHeight="1">
      <c r="A544" s="107"/>
      <c r="B544" s="107"/>
      <c r="C544" s="107"/>
      <c r="D544" s="107"/>
      <c r="E544" s="107"/>
    </row>
    <row r="545" ht="15.75" customHeight="1">
      <c r="A545" s="107"/>
      <c r="B545" s="107"/>
      <c r="C545" s="107"/>
      <c r="D545" s="107"/>
      <c r="E545" s="107"/>
    </row>
    <row r="546" ht="15.75" customHeight="1">
      <c r="A546" s="107"/>
      <c r="B546" s="107"/>
      <c r="C546" s="107"/>
      <c r="D546" s="107"/>
      <c r="E546" s="107"/>
    </row>
    <row r="547" ht="15.75" customHeight="1">
      <c r="A547" s="107"/>
      <c r="B547" s="107"/>
      <c r="C547" s="107"/>
      <c r="D547" s="107"/>
      <c r="E547" s="107"/>
    </row>
    <row r="548" ht="15.75" customHeight="1">
      <c r="A548" s="107"/>
      <c r="B548" s="107"/>
      <c r="C548" s="107"/>
      <c r="D548" s="107"/>
      <c r="E548" s="107"/>
    </row>
    <row r="549" ht="15.75" customHeight="1">
      <c r="A549" s="107"/>
      <c r="B549" s="107"/>
      <c r="C549" s="107"/>
      <c r="D549" s="107"/>
      <c r="E549" s="107"/>
    </row>
    <row r="550" ht="15.75" customHeight="1">
      <c r="A550" s="107"/>
      <c r="B550" s="107"/>
      <c r="C550" s="107"/>
      <c r="D550" s="107"/>
      <c r="E550" s="107"/>
    </row>
    <row r="551" ht="15.75" customHeight="1">
      <c r="A551" s="107"/>
      <c r="B551" s="107"/>
      <c r="C551" s="107"/>
      <c r="D551" s="107"/>
      <c r="E551" s="107"/>
    </row>
    <row r="552" ht="15.75" customHeight="1">
      <c r="A552" s="107"/>
      <c r="B552" s="107"/>
      <c r="C552" s="107"/>
      <c r="D552" s="107"/>
      <c r="E552" s="107"/>
    </row>
    <row r="553" ht="15.75" customHeight="1">
      <c r="A553" s="107"/>
      <c r="B553" s="107"/>
      <c r="C553" s="107"/>
      <c r="D553" s="107"/>
      <c r="E553" s="107"/>
    </row>
    <row r="554" ht="15.75" customHeight="1">
      <c r="A554" s="107"/>
      <c r="B554" s="107"/>
      <c r="C554" s="107"/>
      <c r="D554" s="107"/>
      <c r="E554" s="107"/>
    </row>
    <row r="555" ht="15.75" customHeight="1">
      <c r="A555" s="107"/>
      <c r="B555" s="107"/>
      <c r="C555" s="107"/>
      <c r="D555" s="107"/>
      <c r="E555" s="107"/>
    </row>
    <row r="556" ht="15.75" customHeight="1">
      <c r="A556" s="107"/>
      <c r="B556" s="107"/>
      <c r="C556" s="107"/>
      <c r="D556" s="107"/>
      <c r="E556" s="107"/>
    </row>
    <row r="557" ht="15.75" customHeight="1">
      <c r="A557" s="107"/>
      <c r="B557" s="107"/>
      <c r="C557" s="107"/>
      <c r="D557" s="107"/>
      <c r="E557" s="107"/>
    </row>
    <row r="558" ht="15.75" customHeight="1">
      <c r="A558" s="107"/>
      <c r="B558" s="107"/>
      <c r="C558" s="107"/>
      <c r="D558" s="107"/>
      <c r="E558" s="107"/>
    </row>
    <row r="559" ht="15.75" customHeight="1">
      <c r="A559" s="107"/>
      <c r="B559" s="107"/>
      <c r="C559" s="107"/>
      <c r="D559" s="107"/>
      <c r="E559" s="107"/>
    </row>
    <row r="560" ht="15.75" customHeight="1">
      <c r="A560" s="107"/>
      <c r="B560" s="107"/>
      <c r="C560" s="107"/>
      <c r="D560" s="107"/>
      <c r="E560" s="107"/>
    </row>
    <row r="561" ht="15.75" customHeight="1">
      <c r="A561" s="107"/>
      <c r="B561" s="107"/>
      <c r="C561" s="107"/>
      <c r="D561" s="107"/>
      <c r="E561" s="107"/>
    </row>
    <row r="562" ht="15.75" customHeight="1">
      <c r="A562" s="107"/>
      <c r="B562" s="107"/>
      <c r="C562" s="107"/>
      <c r="D562" s="107"/>
      <c r="E562" s="107"/>
    </row>
    <row r="563" ht="15.75" customHeight="1">
      <c r="A563" s="107"/>
      <c r="B563" s="107"/>
      <c r="C563" s="107"/>
      <c r="D563" s="107"/>
      <c r="E563" s="107"/>
    </row>
    <row r="564" ht="15.75" customHeight="1">
      <c r="A564" s="107"/>
      <c r="B564" s="107"/>
      <c r="C564" s="107"/>
      <c r="D564" s="107"/>
      <c r="E564" s="107"/>
    </row>
    <row r="565" ht="15.75" customHeight="1">
      <c r="A565" s="107"/>
      <c r="B565" s="107"/>
      <c r="C565" s="107"/>
      <c r="D565" s="107"/>
      <c r="E565" s="107"/>
    </row>
    <row r="566" ht="15.75" customHeight="1">
      <c r="A566" s="107"/>
      <c r="B566" s="107"/>
      <c r="C566" s="107"/>
      <c r="D566" s="107"/>
      <c r="E566" s="107"/>
    </row>
    <row r="567" ht="15.75" customHeight="1">
      <c r="A567" s="107"/>
      <c r="B567" s="107"/>
      <c r="C567" s="107"/>
      <c r="D567" s="107"/>
      <c r="E567" s="107"/>
    </row>
    <row r="568" ht="15.75" customHeight="1">
      <c r="A568" s="107"/>
      <c r="B568" s="107"/>
      <c r="C568" s="107"/>
      <c r="D568" s="107"/>
      <c r="E568" s="107"/>
    </row>
    <row r="569" ht="15.75" customHeight="1">
      <c r="A569" s="107"/>
      <c r="B569" s="107"/>
      <c r="C569" s="107"/>
      <c r="D569" s="107"/>
      <c r="E569" s="107"/>
    </row>
    <row r="570" ht="15.75" customHeight="1">
      <c r="A570" s="107"/>
      <c r="B570" s="107"/>
      <c r="C570" s="107"/>
      <c r="D570" s="107"/>
      <c r="E570" s="107"/>
    </row>
    <row r="571" ht="15.75" customHeight="1">
      <c r="A571" s="107"/>
      <c r="B571" s="107"/>
      <c r="C571" s="107"/>
      <c r="D571" s="107"/>
      <c r="E571" s="107"/>
    </row>
    <row r="572" ht="15.75" customHeight="1">
      <c r="A572" s="107"/>
      <c r="B572" s="107"/>
      <c r="C572" s="107"/>
      <c r="D572" s="107"/>
      <c r="E572" s="107"/>
    </row>
    <row r="573" ht="15.75" customHeight="1">
      <c r="A573" s="107"/>
      <c r="B573" s="107"/>
      <c r="C573" s="107"/>
      <c r="D573" s="107"/>
      <c r="E573" s="107"/>
    </row>
    <row r="574" ht="15.75" customHeight="1">
      <c r="A574" s="107"/>
      <c r="B574" s="107"/>
      <c r="C574" s="107"/>
      <c r="D574" s="107"/>
      <c r="E574" s="107"/>
    </row>
    <row r="575" ht="15.75" customHeight="1">
      <c r="A575" s="107"/>
      <c r="B575" s="107"/>
      <c r="C575" s="107"/>
      <c r="D575" s="107"/>
      <c r="E575" s="107"/>
    </row>
    <row r="576" ht="15.75" customHeight="1">
      <c r="A576" s="107"/>
      <c r="B576" s="107"/>
      <c r="C576" s="107"/>
      <c r="D576" s="107"/>
      <c r="E576" s="107"/>
    </row>
    <row r="577" ht="15.75" customHeight="1">
      <c r="A577" s="107"/>
      <c r="B577" s="107"/>
      <c r="C577" s="107"/>
      <c r="D577" s="107"/>
      <c r="E577" s="107"/>
    </row>
    <row r="578" ht="15.75" customHeight="1">
      <c r="A578" s="107"/>
      <c r="B578" s="107"/>
      <c r="C578" s="107"/>
      <c r="D578" s="107"/>
      <c r="E578" s="107"/>
    </row>
    <row r="579" ht="15.75" customHeight="1">
      <c r="A579" s="107"/>
      <c r="B579" s="107"/>
      <c r="C579" s="107"/>
      <c r="D579" s="107"/>
      <c r="E579" s="107"/>
    </row>
    <row r="580" ht="15.75" customHeight="1">
      <c r="A580" s="107"/>
      <c r="B580" s="107"/>
      <c r="C580" s="107"/>
      <c r="D580" s="107"/>
      <c r="E580" s="107"/>
    </row>
    <row r="581" ht="15.75" customHeight="1">
      <c r="A581" s="107"/>
      <c r="B581" s="107"/>
      <c r="C581" s="107"/>
      <c r="D581" s="107"/>
      <c r="E581" s="107"/>
    </row>
    <row r="582" ht="15.75" customHeight="1">
      <c r="A582" s="107"/>
      <c r="B582" s="107"/>
      <c r="C582" s="107"/>
      <c r="D582" s="107"/>
      <c r="E582" s="107"/>
    </row>
    <row r="583" ht="15.75" customHeight="1">
      <c r="A583" s="107"/>
      <c r="B583" s="107"/>
      <c r="C583" s="107"/>
      <c r="D583" s="107"/>
      <c r="E583" s="107"/>
    </row>
    <row r="584" ht="15.75" customHeight="1">
      <c r="A584" s="107"/>
      <c r="B584" s="107"/>
      <c r="C584" s="107"/>
      <c r="D584" s="107"/>
      <c r="E584" s="107"/>
    </row>
    <row r="585" ht="15.75" customHeight="1">
      <c r="A585" s="107"/>
      <c r="B585" s="107"/>
      <c r="C585" s="107"/>
      <c r="D585" s="107"/>
      <c r="E585" s="107"/>
    </row>
    <row r="586" ht="15.75" customHeight="1">
      <c r="A586" s="107"/>
      <c r="B586" s="107"/>
      <c r="C586" s="107"/>
      <c r="D586" s="107"/>
      <c r="E586" s="107"/>
    </row>
    <row r="587" ht="15.75" customHeight="1">
      <c r="A587" s="107"/>
      <c r="B587" s="107"/>
      <c r="C587" s="107"/>
      <c r="D587" s="107"/>
      <c r="E587" s="107"/>
    </row>
    <row r="588" ht="15.75" customHeight="1">
      <c r="A588" s="107"/>
      <c r="B588" s="107"/>
      <c r="C588" s="107"/>
      <c r="D588" s="107"/>
      <c r="E588" s="107"/>
    </row>
    <row r="589" ht="15.75" customHeight="1">
      <c r="A589" s="107"/>
      <c r="B589" s="107"/>
      <c r="C589" s="107"/>
      <c r="D589" s="107"/>
      <c r="E589" s="107"/>
    </row>
    <row r="590" ht="15.75" customHeight="1">
      <c r="A590" s="107"/>
      <c r="B590" s="107"/>
      <c r="C590" s="107"/>
      <c r="D590" s="107"/>
      <c r="E590" s="107"/>
    </row>
    <row r="591" ht="15.75" customHeight="1">
      <c r="A591" s="107"/>
      <c r="B591" s="107"/>
      <c r="C591" s="107"/>
      <c r="D591" s="107"/>
      <c r="E591" s="107"/>
    </row>
    <row r="592" ht="15.75" customHeight="1">
      <c r="A592" s="107"/>
      <c r="B592" s="107"/>
      <c r="C592" s="107"/>
      <c r="D592" s="107"/>
      <c r="E592" s="107"/>
    </row>
    <row r="593" ht="15.75" customHeight="1">
      <c r="A593" s="107"/>
      <c r="B593" s="107"/>
      <c r="C593" s="107"/>
      <c r="D593" s="107"/>
      <c r="E593" s="107"/>
    </row>
    <row r="594" ht="15.75" customHeight="1">
      <c r="A594" s="107"/>
      <c r="B594" s="107"/>
      <c r="C594" s="107"/>
      <c r="D594" s="107"/>
      <c r="E594" s="107"/>
    </row>
    <row r="595" ht="15.75" customHeight="1">
      <c r="A595" s="107"/>
      <c r="B595" s="107"/>
      <c r="C595" s="107"/>
      <c r="D595" s="107"/>
      <c r="E595" s="107"/>
    </row>
    <row r="596" ht="15.75" customHeight="1">
      <c r="A596" s="107"/>
      <c r="B596" s="107"/>
      <c r="C596" s="107"/>
      <c r="D596" s="107"/>
      <c r="E596" s="107"/>
    </row>
    <row r="597" ht="15.75" customHeight="1">
      <c r="A597" s="107"/>
      <c r="B597" s="107"/>
      <c r="C597" s="107"/>
      <c r="D597" s="107"/>
      <c r="E597" s="107"/>
    </row>
    <row r="598" ht="15.75" customHeight="1">
      <c r="A598" s="107"/>
      <c r="B598" s="107"/>
      <c r="C598" s="107"/>
      <c r="D598" s="107"/>
      <c r="E598" s="107"/>
    </row>
    <row r="599" ht="15.75" customHeight="1">
      <c r="A599" s="107"/>
      <c r="B599" s="107"/>
      <c r="C599" s="107"/>
      <c r="D599" s="107"/>
      <c r="E599" s="107"/>
    </row>
    <row r="600" ht="15.75" customHeight="1">
      <c r="A600" s="107"/>
      <c r="B600" s="107"/>
      <c r="C600" s="107"/>
      <c r="D600" s="107"/>
      <c r="E600" s="107"/>
    </row>
    <row r="601" ht="15.75" customHeight="1">
      <c r="A601" s="107"/>
      <c r="B601" s="107"/>
      <c r="C601" s="107"/>
      <c r="D601" s="107"/>
      <c r="E601" s="107"/>
    </row>
    <row r="602" ht="15.75" customHeight="1">
      <c r="A602" s="107"/>
      <c r="B602" s="107"/>
      <c r="C602" s="107"/>
      <c r="D602" s="107"/>
      <c r="E602" s="107"/>
    </row>
    <row r="603" ht="15.75" customHeight="1">
      <c r="A603" s="107"/>
      <c r="B603" s="107"/>
      <c r="C603" s="107"/>
      <c r="D603" s="107"/>
      <c r="E603" s="107"/>
    </row>
    <row r="604" ht="15.75" customHeight="1">
      <c r="A604" s="107"/>
      <c r="B604" s="107"/>
      <c r="C604" s="107"/>
      <c r="D604" s="107"/>
      <c r="E604" s="107"/>
    </row>
    <row r="605" ht="15.75" customHeight="1">
      <c r="A605" s="107"/>
      <c r="B605" s="107"/>
      <c r="C605" s="107"/>
      <c r="D605" s="107"/>
      <c r="E605" s="107"/>
    </row>
    <row r="606" ht="15.75" customHeight="1">
      <c r="A606" s="107"/>
      <c r="B606" s="107"/>
      <c r="C606" s="107"/>
      <c r="D606" s="107"/>
      <c r="E606" s="107"/>
    </row>
    <row r="607" ht="15.75" customHeight="1">
      <c r="A607" s="107"/>
      <c r="B607" s="107"/>
      <c r="C607" s="107"/>
      <c r="D607" s="107"/>
      <c r="E607" s="107"/>
    </row>
    <row r="608" ht="15.75" customHeight="1">
      <c r="A608" s="107"/>
      <c r="B608" s="107"/>
      <c r="C608" s="107"/>
      <c r="D608" s="107"/>
      <c r="E608" s="107"/>
    </row>
    <row r="609" ht="15.75" customHeight="1">
      <c r="A609" s="107"/>
      <c r="B609" s="107"/>
      <c r="C609" s="107"/>
      <c r="D609" s="107"/>
      <c r="E609" s="107"/>
    </row>
    <row r="610" ht="15.75" customHeight="1">
      <c r="A610" s="107"/>
      <c r="B610" s="107"/>
      <c r="C610" s="107"/>
      <c r="D610" s="107"/>
      <c r="E610" s="107"/>
    </row>
    <row r="611" ht="15.75" customHeight="1">
      <c r="A611" s="107"/>
      <c r="B611" s="107"/>
      <c r="C611" s="107"/>
      <c r="D611" s="107"/>
      <c r="E611" s="107"/>
    </row>
    <row r="612" ht="15.75" customHeight="1">
      <c r="A612" s="107"/>
      <c r="B612" s="107"/>
      <c r="C612" s="107"/>
      <c r="D612" s="107"/>
      <c r="E612" s="107"/>
    </row>
    <row r="613" ht="15.75" customHeight="1">
      <c r="A613" s="107"/>
      <c r="B613" s="107"/>
      <c r="C613" s="107"/>
      <c r="D613" s="107"/>
      <c r="E613" s="107"/>
    </row>
    <row r="614" ht="15.75" customHeight="1">
      <c r="A614" s="107"/>
      <c r="B614" s="107"/>
      <c r="C614" s="107"/>
      <c r="D614" s="107"/>
      <c r="E614" s="107"/>
    </row>
    <row r="615" ht="15.75" customHeight="1">
      <c r="A615" s="107"/>
      <c r="B615" s="107"/>
      <c r="C615" s="107"/>
      <c r="D615" s="107"/>
      <c r="E615" s="107"/>
    </row>
    <row r="616" ht="15.75" customHeight="1">
      <c r="A616" s="107"/>
      <c r="B616" s="107"/>
      <c r="C616" s="107"/>
      <c r="D616" s="107"/>
      <c r="E616" s="107"/>
    </row>
    <row r="617" ht="15.75" customHeight="1">
      <c r="A617" s="107"/>
      <c r="B617" s="107"/>
      <c r="C617" s="107"/>
      <c r="D617" s="107"/>
      <c r="E617" s="107"/>
    </row>
    <row r="618" ht="15.75" customHeight="1">
      <c r="A618" s="107"/>
      <c r="B618" s="107"/>
      <c r="C618" s="107"/>
      <c r="D618" s="107"/>
      <c r="E618" s="107"/>
    </row>
    <row r="619" ht="15.75" customHeight="1">
      <c r="A619" s="107"/>
      <c r="B619" s="107"/>
      <c r="C619" s="107"/>
      <c r="D619" s="107"/>
      <c r="E619" s="107"/>
    </row>
    <row r="620" ht="15.75" customHeight="1">
      <c r="A620" s="107"/>
      <c r="B620" s="107"/>
      <c r="C620" s="107"/>
      <c r="D620" s="107"/>
      <c r="E620" s="107"/>
    </row>
    <row r="621" ht="15.75" customHeight="1">
      <c r="A621" s="107"/>
      <c r="B621" s="107"/>
      <c r="C621" s="107"/>
      <c r="D621" s="107"/>
      <c r="E621" s="107"/>
    </row>
    <row r="622" ht="15.75" customHeight="1">
      <c r="A622" s="107"/>
      <c r="B622" s="107"/>
      <c r="C622" s="107"/>
      <c r="D622" s="107"/>
      <c r="E622" s="107"/>
    </row>
    <row r="623" ht="15.75" customHeight="1">
      <c r="A623" s="107"/>
      <c r="B623" s="107"/>
      <c r="C623" s="107"/>
      <c r="D623" s="107"/>
      <c r="E623" s="107"/>
    </row>
    <row r="624" ht="15.75" customHeight="1">
      <c r="A624" s="107"/>
      <c r="B624" s="107"/>
      <c r="C624" s="107"/>
      <c r="D624" s="107"/>
      <c r="E624" s="107"/>
    </row>
    <row r="625" ht="15.75" customHeight="1">
      <c r="A625" s="107"/>
      <c r="B625" s="107"/>
      <c r="C625" s="107"/>
      <c r="D625" s="107"/>
      <c r="E625" s="107"/>
    </row>
    <row r="626" ht="15.75" customHeight="1">
      <c r="A626" s="107"/>
      <c r="B626" s="107"/>
      <c r="C626" s="107"/>
      <c r="D626" s="107"/>
      <c r="E626" s="107"/>
    </row>
    <row r="627" ht="15.75" customHeight="1">
      <c r="A627" s="107"/>
      <c r="B627" s="107"/>
      <c r="C627" s="107"/>
      <c r="D627" s="107"/>
      <c r="E627" s="107"/>
    </row>
    <row r="628" ht="15.75" customHeight="1">
      <c r="A628" s="107"/>
      <c r="B628" s="107"/>
      <c r="C628" s="107"/>
      <c r="D628" s="107"/>
      <c r="E628" s="107"/>
    </row>
    <row r="629" ht="15.75" customHeight="1">
      <c r="A629" s="107"/>
      <c r="B629" s="107"/>
      <c r="C629" s="107"/>
      <c r="D629" s="107"/>
      <c r="E629" s="107"/>
    </row>
    <row r="630" ht="15.75" customHeight="1">
      <c r="A630" s="107"/>
      <c r="B630" s="107"/>
      <c r="C630" s="107"/>
      <c r="D630" s="107"/>
      <c r="E630" s="107"/>
    </row>
    <row r="631" ht="15.75" customHeight="1">
      <c r="A631" s="107"/>
      <c r="B631" s="107"/>
      <c r="C631" s="107"/>
      <c r="D631" s="107"/>
      <c r="E631" s="107"/>
    </row>
    <row r="632" ht="15.75" customHeight="1">
      <c r="A632" s="107"/>
      <c r="B632" s="107"/>
      <c r="C632" s="107"/>
      <c r="D632" s="107"/>
      <c r="E632" s="107"/>
    </row>
    <row r="633" ht="15.75" customHeight="1">
      <c r="A633" s="107"/>
      <c r="B633" s="107"/>
      <c r="C633" s="107"/>
      <c r="D633" s="107"/>
      <c r="E633" s="107"/>
    </row>
    <row r="634" ht="15.75" customHeight="1">
      <c r="A634" s="107"/>
      <c r="B634" s="107"/>
      <c r="C634" s="107"/>
      <c r="D634" s="107"/>
      <c r="E634" s="107"/>
    </row>
    <row r="635" ht="15.75" customHeight="1">
      <c r="A635" s="107"/>
      <c r="B635" s="107"/>
      <c r="C635" s="107"/>
      <c r="D635" s="107"/>
      <c r="E635" s="107"/>
    </row>
    <row r="636" ht="15.75" customHeight="1">
      <c r="A636" s="107"/>
      <c r="B636" s="107"/>
      <c r="C636" s="107"/>
      <c r="D636" s="107"/>
      <c r="E636" s="107"/>
    </row>
    <row r="637" ht="15.75" customHeight="1">
      <c r="A637" s="107"/>
      <c r="B637" s="107"/>
      <c r="C637" s="107"/>
      <c r="D637" s="107"/>
      <c r="E637" s="107"/>
    </row>
    <row r="638" ht="15.75" customHeight="1">
      <c r="A638" s="107"/>
      <c r="B638" s="107"/>
      <c r="C638" s="107"/>
      <c r="D638" s="107"/>
      <c r="E638" s="107"/>
    </row>
    <row r="639" ht="15.75" customHeight="1">
      <c r="A639" s="107"/>
      <c r="B639" s="107"/>
      <c r="C639" s="107"/>
      <c r="D639" s="107"/>
      <c r="E639" s="107"/>
    </row>
    <row r="640" ht="15.75" customHeight="1">
      <c r="A640" s="107"/>
      <c r="B640" s="107"/>
      <c r="C640" s="107"/>
      <c r="D640" s="107"/>
      <c r="E640" s="107"/>
    </row>
    <row r="641" ht="15.75" customHeight="1">
      <c r="A641" s="107"/>
      <c r="B641" s="107"/>
      <c r="C641" s="107"/>
      <c r="D641" s="107"/>
      <c r="E641" s="107"/>
    </row>
    <row r="642" ht="15.75" customHeight="1">
      <c r="A642" s="107"/>
      <c r="B642" s="107"/>
      <c r="C642" s="107"/>
      <c r="D642" s="107"/>
      <c r="E642" s="107"/>
    </row>
    <row r="643" ht="15.75" customHeight="1">
      <c r="A643" s="107"/>
      <c r="B643" s="107"/>
      <c r="C643" s="107"/>
      <c r="D643" s="107"/>
      <c r="E643" s="107"/>
    </row>
    <row r="644" ht="15.75" customHeight="1">
      <c r="A644" s="107"/>
      <c r="B644" s="107"/>
      <c r="C644" s="107"/>
      <c r="D644" s="107"/>
      <c r="E644" s="107"/>
    </row>
    <row r="645" ht="15.75" customHeight="1">
      <c r="A645" s="107"/>
      <c r="B645" s="107"/>
      <c r="C645" s="107"/>
      <c r="D645" s="107"/>
      <c r="E645" s="107"/>
    </row>
    <row r="646" ht="15.75" customHeight="1">
      <c r="A646" s="107"/>
      <c r="B646" s="107"/>
      <c r="C646" s="107"/>
      <c r="D646" s="107"/>
      <c r="E646" s="107"/>
    </row>
    <row r="647" ht="15.75" customHeight="1">
      <c r="A647" s="107"/>
      <c r="B647" s="107"/>
      <c r="C647" s="107"/>
      <c r="D647" s="107"/>
      <c r="E647" s="107"/>
    </row>
    <row r="648" ht="15.75" customHeight="1">
      <c r="A648" s="107"/>
      <c r="B648" s="107"/>
      <c r="C648" s="107"/>
      <c r="D648" s="107"/>
      <c r="E648" s="107"/>
    </row>
    <row r="649" ht="15.75" customHeight="1">
      <c r="A649" s="107"/>
      <c r="B649" s="107"/>
      <c r="C649" s="107"/>
      <c r="D649" s="107"/>
      <c r="E649" s="107"/>
    </row>
    <row r="650" ht="15.75" customHeight="1">
      <c r="A650" s="107"/>
      <c r="B650" s="107"/>
      <c r="C650" s="107"/>
      <c r="D650" s="107"/>
      <c r="E650" s="107"/>
    </row>
    <row r="651" ht="15.75" customHeight="1">
      <c r="A651" s="107"/>
      <c r="B651" s="107"/>
      <c r="C651" s="107"/>
      <c r="D651" s="107"/>
      <c r="E651" s="107"/>
    </row>
    <row r="652" ht="15.75" customHeight="1">
      <c r="A652" s="107"/>
      <c r="B652" s="107"/>
      <c r="C652" s="107"/>
      <c r="D652" s="107"/>
      <c r="E652" s="107"/>
    </row>
    <row r="653" ht="15.75" customHeight="1">
      <c r="A653" s="107"/>
      <c r="B653" s="107"/>
      <c r="C653" s="107"/>
      <c r="D653" s="107"/>
      <c r="E653" s="107"/>
    </row>
    <row r="654" ht="15.75" customHeight="1">
      <c r="A654" s="107"/>
      <c r="B654" s="107"/>
      <c r="C654" s="107"/>
      <c r="D654" s="107"/>
      <c r="E654" s="107"/>
    </row>
    <row r="655" ht="15.75" customHeight="1">
      <c r="A655" s="107"/>
      <c r="B655" s="107"/>
      <c r="C655" s="107"/>
      <c r="D655" s="107"/>
      <c r="E655" s="107"/>
    </row>
    <row r="656" ht="15.75" customHeight="1">
      <c r="A656" s="107"/>
      <c r="B656" s="107"/>
      <c r="C656" s="107"/>
      <c r="D656" s="107"/>
      <c r="E656" s="107"/>
    </row>
    <row r="657" ht="15.75" customHeight="1">
      <c r="A657" s="107"/>
      <c r="B657" s="107"/>
      <c r="C657" s="107"/>
      <c r="D657" s="107"/>
      <c r="E657" s="107"/>
    </row>
    <row r="658" ht="15.75" customHeight="1">
      <c r="A658" s="107"/>
      <c r="B658" s="107"/>
      <c r="C658" s="107"/>
      <c r="D658" s="107"/>
      <c r="E658" s="107"/>
    </row>
    <row r="659" ht="15.75" customHeight="1">
      <c r="A659" s="107"/>
      <c r="B659" s="107"/>
      <c r="C659" s="107"/>
      <c r="D659" s="107"/>
      <c r="E659" s="107"/>
    </row>
    <row r="660" ht="15.75" customHeight="1">
      <c r="A660" s="107"/>
      <c r="B660" s="107"/>
      <c r="C660" s="107"/>
      <c r="D660" s="107"/>
      <c r="E660" s="107"/>
    </row>
    <row r="661" ht="15.75" customHeight="1">
      <c r="A661" s="107"/>
      <c r="B661" s="107"/>
      <c r="C661" s="107"/>
      <c r="D661" s="107"/>
      <c r="E661" s="107"/>
    </row>
    <row r="662" ht="15.75" customHeight="1">
      <c r="A662" s="107"/>
      <c r="B662" s="107"/>
      <c r="C662" s="107"/>
      <c r="D662" s="107"/>
      <c r="E662" s="107"/>
    </row>
    <row r="663" ht="15.75" customHeight="1">
      <c r="A663" s="107"/>
      <c r="B663" s="107"/>
      <c r="C663" s="107"/>
      <c r="D663" s="107"/>
      <c r="E663" s="107"/>
    </row>
    <row r="664" ht="15.75" customHeight="1">
      <c r="A664" s="107"/>
      <c r="B664" s="107"/>
      <c r="C664" s="107"/>
      <c r="D664" s="107"/>
      <c r="E664" s="107"/>
    </row>
    <row r="665" ht="15.75" customHeight="1">
      <c r="A665" s="107"/>
      <c r="B665" s="107"/>
      <c r="C665" s="107"/>
      <c r="D665" s="107"/>
      <c r="E665" s="107"/>
    </row>
    <row r="666" ht="15.75" customHeight="1">
      <c r="A666" s="107"/>
      <c r="B666" s="107"/>
      <c r="C666" s="107"/>
      <c r="D666" s="107"/>
      <c r="E666" s="107"/>
    </row>
    <row r="667" ht="15.75" customHeight="1">
      <c r="A667" s="107"/>
      <c r="B667" s="107"/>
      <c r="C667" s="107"/>
      <c r="D667" s="107"/>
      <c r="E667" s="107"/>
    </row>
    <row r="668" ht="15.75" customHeight="1">
      <c r="A668" s="107"/>
      <c r="B668" s="107"/>
      <c r="C668" s="107"/>
      <c r="D668" s="107"/>
      <c r="E668" s="107"/>
    </row>
    <row r="669" ht="15.75" customHeight="1">
      <c r="A669" s="107"/>
      <c r="B669" s="107"/>
      <c r="C669" s="107"/>
      <c r="D669" s="107"/>
      <c r="E669" s="107"/>
    </row>
    <row r="670" ht="15.75" customHeight="1">
      <c r="A670" s="107"/>
      <c r="B670" s="107"/>
      <c r="C670" s="107"/>
      <c r="D670" s="107"/>
      <c r="E670" s="107"/>
    </row>
    <row r="671" ht="15.75" customHeight="1">
      <c r="A671" s="107"/>
      <c r="B671" s="107"/>
      <c r="C671" s="107"/>
      <c r="D671" s="107"/>
      <c r="E671" s="107"/>
    </row>
    <row r="672" ht="15.75" customHeight="1">
      <c r="A672" s="107"/>
      <c r="B672" s="107"/>
      <c r="C672" s="107"/>
      <c r="D672" s="107"/>
      <c r="E672" s="107"/>
    </row>
    <row r="673" ht="15.75" customHeight="1">
      <c r="A673" s="107"/>
      <c r="B673" s="107"/>
      <c r="C673" s="107"/>
      <c r="D673" s="107"/>
      <c r="E673" s="107"/>
    </row>
    <row r="674" ht="15.75" customHeight="1">
      <c r="A674" s="107"/>
      <c r="B674" s="107"/>
      <c r="C674" s="107"/>
      <c r="D674" s="107"/>
      <c r="E674" s="107"/>
    </row>
    <row r="675" ht="15.75" customHeight="1">
      <c r="A675" s="107"/>
      <c r="B675" s="107"/>
      <c r="C675" s="107"/>
      <c r="D675" s="107"/>
      <c r="E675" s="107"/>
    </row>
    <row r="676" ht="15.75" customHeight="1">
      <c r="A676" s="107"/>
      <c r="B676" s="107"/>
      <c r="C676" s="107"/>
      <c r="D676" s="107"/>
      <c r="E676" s="107"/>
    </row>
    <row r="677" ht="15.75" customHeight="1">
      <c r="A677" s="107"/>
      <c r="B677" s="107"/>
      <c r="C677" s="107"/>
      <c r="D677" s="107"/>
      <c r="E677" s="107"/>
    </row>
    <row r="678" ht="15.75" customHeight="1">
      <c r="A678" s="107"/>
      <c r="B678" s="107"/>
      <c r="C678" s="107"/>
      <c r="D678" s="107"/>
      <c r="E678" s="107"/>
    </row>
    <row r="679" ht="15.75" customHeight="1">
      <c r="A679" s="107"/>
      <c r="B679" s="107"/>
      <c r="C679" s="107"/>
      <c r="D679" s="107"/>
      <c r="E679" s="107"/>
    </row>
    <row r="680" ht="15.75" customHeight="1">
      <c r="A680" s="107"/>
      <c r="B680" s="107"/>
      <c r="C680" s="107"/>
      <c r="D680" s="107"/>
      <c r="E680" s="107"/>
    </row>
    <row r="681" ht="15.75" customHeight="1">
      <c r="A681" s="107"/>
      <c r="B681" s="107"/>
      <c r="C681" s="107"/>
      <c r="D681" s="107"/>
      <c r="E681" s="107"/>
    </row>
    <row r="682" ht="15.75" customHeight="1">
      <c r="A682" s="107"/>
      <c r="B682" s="107"/>
      <c r="C682" s="107"/>
      <c r="D682" s="107"/>
      <c r="E682" s="107"/>
    </row>
    <row r="683" ht="15.75" customHeight="1">
      <c r="A683" s="107"/>
      <c r="B683" s="107"/>
      <c r="C683" s="107"/>
      <c r="D683" s="107"/>
      <c r="E683" s="107"/>
    </row>
    <row r="684" ht="15.75" customHeight="1">
      <c r="A684" s="107"/>
      <c r="B684" s="107"/>
      <c r="C684" s="107"/>
      <c r="D684" s="107"/>
      <c r="E684" s="107"/>
    </row>
    <row r="685" ht="15.75" customHeight="1">
      <c r="A685" s="107"/>
      <c r="B685" s="107"/>
      <c r="C685" s="107"/>
      <c r="D685" s="107"/>
      <c r="E685" s="107"/>
    </row>
    <row r="686" ht="15.75" customHeight="1">
      <c r="A686" s="107"/>
      <c r="B686" s="107"/>
      <c r="C686" s="107"/>
      <c r="D686" s="107"/>
      <c r="E686" s="107"/>
    </row>
    <row r="687" ht="15.75" customHeight="1">
      <c r="A687" s="107"/>
      <c r="B687" s="107"/>
      <c r="C687" s="107"/>
      <c r="D687" s="107"/>
      <c r="E687" s="107"/>
    </row>
    <row r="688" ht="15.75" customHeight="1">
      <c r="A688" s="107"/>
      <c r="B688" s="107"/>
      <c r="C688" s="107"/>
      <c r="D688" s="107"/>
      <c r="E688" s="107"/>
    </row>
    <row r="689" ht="15.75" customHeight="1">
      <c r="A689" s="107"/>
      <c r="B689" s="107"/>
      <c r="C689" s="107"/>
      <c r="D689" s="107"/>
      <c r="E689" s="107"/>
    </row>
    <row r="690" ht="15.75" customHeight="1">
      <c r="A690" s="107"/>
      <c r="B690" s="107"/>
      <c r="C690" s="107"/>
      <c r="D690" s="107"/>
      <c r="E690" s="107"/>
    </row>
    <row r="691" ht="15.75" customHeight="1">
      <c r="A691" s="107"/>
      <c r="B691" s="107"/>
      <c r="C691" s="107"/>
      <c r="D691" s="107"/>
      <c r="E691" s="107"/>
    </row>
    <row r="692" ht="15.75" customHeight="1">
      <c r="A692" s="107"/>
      <c r="B692" s="107"/>
      <c r="C692" s="107"/>
      <c r="D692" s="107"/>
      <c r="E692" s="107"/>
    </row>
    <row r="693" ht="15.75" customHeight="1">
      <c r="A693" s="107"/>
      <c r="B693" s="107"/>
      <c r="C693" s="107"/>
      <c r="D693" s="107"/>
      <c r="E693" s="107"/>
    </row>
    <row r="694" ht="15.75" customHeight="1">
      <c r="A694" s="107"/>
      <c r="B694" s="107"/>
      <c r="C694" s="107"/>
      <c r="D694" s="107"/>
      <c r="E694" s="107"/>
    </row>
    <row r="695" ht="15.75" customHeight="1">
      <c r="A695" s="107"/>
      <c r="B695" s="107"/>
      <c r="C695" s="107"/>
      <c r="D695" s="107"/>
      <c r="E695" s="107"/>
    </row>
    <row r="696" ht="15.75" customHeight="1">
      <c r="A696" s="107"/>
      <c r="B696" s="107"/>
      <c r="C696" s="107"/>
      <c r="D696" s="107"/>
      <c r="E696" s="107"/>
    </row>
    <row r="697" ht="15.75" customHeight="1">
      <c r="A697" s="107"/>
      <c r="B697" s="107"/>
      <c r="C697" s="107"/>
      <c r="D697" s="107"/>
      <c r="E697" s="107"/>
    </row>
    <row r="698" ht="15.75" customHeight="1">
      <c r="A698" s="107"/>
      <c r="B698" s="107"/>
      <c r="C698" s="107"/>
      <c r="D698" s="107"/>
      <c r="E698" s="107"/>
    </row>
    <row r="699" ht="15.75" customHeight="1">
      <c r="A699" s="107"/>
      <c r="B699" s="107"/>
      <c r="C699" s="107"/>
      <c r="D699" s="107"/>
      <c r="E699" s="107"/>
    </row>
    <row r="700" ht="15.75" customHeight="1">
      <c r="A700" s="107"/>
      <c r="B700" s="107"/>
      <c r="C700" s="107"/>
      <c r="D700" s="107"/>
      <c r="E700" s="107"/>
    </row>
    <row r="701" ht="15.75" customHeight="1">
      <c r="A701" s="107"/>
      <c r="B701" s="107"/>
      <c r="C701" s="107"/>
      <c r="D701" s="107"/>
      <c r="E701" s="107"/>
    </row>
    <row r="702" ht="15.75" customHeight="1">
      <c r="A702" s="107"/>
      <c r="B702" s="107"/>
      <c r="C702" s="107"/>
      <c r="D702" s="107"/>
      <c r="E702" s="107"/>
    </row>
    <row r="703" ht="15.75" customHeight="1">
      <c r="A703" s="107"/>
      <c r="B703" s="107"/>
      <c r="C703" s="107"/>
      <c r="D703" s="107"/>
      <c r="E703" s="107"/>
    </row>
    <row r="704" ht="15.75" customHeight="1">
      <c r="A704" s="107"/>
      <c r="B704" s="107"/>
      <c r="C704" s="107"/>
      <c r="D704" s="107"/>
      <c r="E704" s="107"/>
    </row>
    <row r="705" ht="15.75" customHeight="1">
      <c r="A705" s="107"/>
      <c r="B705" s="107"/>
      <c r="C705" s="107"/>
      <c r="D705" s="107"/>
      <c r="E705" s="107"/>
    </row>
    <row r="706" ht="15.75" customHeight="1">
      <c r="A706" s="107"/>
      <c r="B706" s="107"/>
      <c r="C706" s="107"/>
      <c r="D706" s="107"/>
      <c r="E706" s="107"/>
    </row>
    <row r="707" ht="15.75" customHeight="1">
      <c r="A707" s="107"/>
      <c r="B707" s="107"/>
      <c r="C707" s="107"/>
      <c r="D707" s="107"/>
      <c r="E707" s="107"/>
    </row>
    <row r="708" ht="15.75" customHeight="1">
      <c r="A708" s="107"/>
      <c r="B708" s="107"/>
      <c r="C708" s="107"/>
      <c r="D708" s="107"/>
      <c r="E708" s="107"/>
    </row>
    <row r="709" ht="15.75" customHeight="1">
      <c r="A709" s="107"/>
      <c r="B709" s="107"/>
      <c r="C709" s="107"/>
      <c r="D709" s="107"/>
      <c r="E709" s="107"/>
    </row>
    <row r="710" ht="15.75" customHeight="1">
      <c r="A710" s="107"/>
      <c r="B710" s="107"/>
      <c r="C710" s="107"/>
      <c r="D710" s="107"/>
      <c r="E710" s="107"/>
    </row>
    <row r="711" ht="15.75" customHeight="1">
      <c r="A711" s="107"/>
      <c r="B711" s="107"/>
      <c r="C711" s="107"/>
      <c r="D711" s="107"/>
      <c r="E711" s="107"/>
    </row>
    <row r="712" ht="15.75" customHeight="1">
      <c r="A712" s="107"/>
      <c r="B712" s="107"/>
      <c r="C712" s="107"/>
      <c r="D712" s="107"/>
      <c r="E712" s="107"/>
    </row>
    <row r="713" ht="15.75" customHeight="1">
      <c r="A713" s="107"/>
      <c r="B713" s="107"/>
      <c r="C713" s="107"/>
      <c r="D713" s="107"/>
      <c r="E713" s="107"/>
    </row>
    <row r="714" ht="15.75" customHeight="1">
      <c r="A714" s="107"/>
      <c r="B714" s="107"/>
      <c r="C714" s="107"/>
      <c r="D714" s="107"/>
      <c r="E714" s="107"/>
    </row>
    <row r="715" ht="15.75" customHeight="1">
      <c r="A715" s="107"/>
      <c r="B715" s="107"/>
      <c r="C715" s="107"/>
      <c r="D715" s="107"/>
      <c r="E715" s="107"/>
    </row>
    <row r="716" ht="15.75" customHeight="1">
      <c r="A716" s="107"/>
      <c r="B716" s="107"/>
      <c r="C716" s="107"/>
      <c r="D716" s="107"/>
      <c r="E716" s="107"/>
    </row>
    <row r="717" ht="15.75" customHeight="1">
      <c r="A717" s="107"/>
      <c r="B717" s="107"/>
      <c r="C717" s="107"/>
      <c r="D717" s="107"/>
      <c r="E717" s="107"/>
    </row>
    <row r="718" ht="15.75" customHeight="1">
      <c r="A718" s="107"/>
      <c r="B718" s="107"/>
      <c r="C718" s="107"/>
      <c r="D718" s="107"/>
      <c r="E718" s="107"/>
    </row>
    <row r="719" ht="15.75" customHeight="1">
      <c r="A719" s="107"/>
      <c r="B719" s="107"/>
      <c r="C719" s="107"/>
      <c r="D719" s="107"/>
      <c r="E719" s="107"/>
    </row>
    <row r="720" ht="15.75" customHeight="1">
      <c r="A720" s="107"/>
      <c r="B720" s="107"/>
      <c r="C720" s="107"/>
      <c r="D720" s="107"/>
      <c r="E720" s="107"/>
    </row>
    <row r="721" ht="15.75" customHeight="1">
      <c r="A721" s="107"/>
      <c r="B721" s="107"/>
      <c r="C721" s="107"/>
      <c r="D721" s="107"/>
      <c r="E721" s="107"/>
    </row>
    <row r="722" ht="15.75" customHeight="1">
      <c r="A722" s="107"/>
      <c r="B722" s="107"/>
      <c r="C722" s="107"/>
      <c r="D722" s="107"/>
      <c r="E722" s="107"/>
    </row>
    <row r="723" ht="15.75" customHeight="1">
      <c r="A723" s="107"/>
      <c r="B723" s="107"/>
      <c r="C723" s="107"/>
      <c r="D723" s="107"/>
      <c r="E723" s="107"/>
    </row>
    <row r="724" ht="15.75" customHeight="1">
      <c r="A724" s="107"/>
      <c r="B724" s="107"/>
      <c r="C724" s="107"/>
      <c r="D724" s="107"/>
      <c r="E724" s="107"/>
    </row>
    <row r="725" ht="15.75" customHeight="1">
      <c r="A725" s="107"/>
      <c r="B725" s="107"/>
      <c r="C725" s="107"/>
      <c r="D725" s="107"/>
      <c r="E725" s="107"/>
    </row>
    <row r="726" ht="15.75" customHeight="1">
      <c r="A726" s="107"/>
      <c r="B726" s="107"/>
      <c r="C726" s="107"/>
      <c r="D726" s="107"/>
      <c r="E726" s="107"/>
    </row>
    <row r="727" ht="15.75" customHeight="1">
      <c r="A727" s="107"/>
      <c r="B727" s="107"/>
      <c r="C727" s="107"/>
      <c r="D727" s="107"/>
      <c r="E727" s="107"/>
    </row>
    <row r="728" ht="15.75" customHeight="1">
      <c r="A728" s="107"/>
      <c r="B728" s="107"/>
      <c r="C728" s="107"/>
      <c r="D728" s="107"/>
      <c r="E728" s="107"/>
    </row>
    <row r="729" ht="15.75" customHeight="1">
      <c r="A729" s="107"/>
      <c r="B729" s="107"/>
      <c r="C729" s="107"/>
      <c r="D729" s="107"/>
      <c r="E729" s="107"/>
    </row>
    <row r="730" ht="15.75" customHeight="1">
      <c r="A730" s="107"/>
      <c r="B730" s="107"/>
      <c r="C730" s="107"/>
      <c r="D730" s="107"/>
      <c r="E730" s="107"/>
    </row>
    <row r="731" ht="15.75" customHeight="1">
      <c r="A731" s="107"/>
      <c r="B731" s="107"/>
      <c r="C731" s="107"/>
      <c r="D731" s="107"/>
      <c r="E731" s="107"/>
    </row>
    <row r="732" ht="15.75" customHeight="1">
      <c r="A732" s="107"/>
      <c r="B732" s="107"/>
      <c r="C732" s="107"/>
      <c r="D732" s="107"/>
      <c r="E732" s="107"/>
    </row>
    <row r="733" ht="15.75" customHeight="1">
      <c r="A733" s="107"/>
      <c r="B733" s="107"/>
      <c r="C733" s="107"/>
      <c r="D733" s="107"/>
      <c r="E733" s="107"/>
    </row>
    <row r="734" ht="15.75" customHeight="1">
      <c r="A734" s="107"/>
      <c r="B734" s="107"/>
      <c r="C734" s="107"/>
      <c r="D734" s="107"/>
      <c r="E734" s="107"/>
    </row>
    <row r="735" ht="15.75" customHeight="1">
      <c r="A735" s="107"/>
      <c r="B735" s="107"/>
      <c r="C735" s="107"/>
      <c r="D735" s="107"/>
      <c r="E735" s="107"/>
    </row>
    <row r="736" ht="15.75" customHeight="1">
      <c r="A736" s="107"/>
      <c r="B736" s="107"/>
      <c r="C736" s="107"/>
      <c r="D736" s="107"/>
      <c r="E736" s="107"/>
    </row>
    <row r="737" ht="15.75" customHeight="1">
      <c r="A737" s="107"/>
      <c r="B737" s="107"/>
      <c r="C737" s="107"/>
      <c r="D737" s="107"/>
      <c r="E737" s="107"/>
    </row>
    <row r="738" ht="15.75" customHeight="1">
      <c r="A738" s="107"/>
      <c r="B738" s="107"/>
      <c r="C738" s="107"/>
      <c r="D738" s="107"/>
      <c r="E738" s="107"/>
    </row>
    <row r="739" ht="15.75" customHeight="1">
      <c r="A739" s="107"/>
      <c r="B739" s="107"/>
      <c r="C739" s="107"/>
      <c r="D739" s="107"/>
      <c r="E739" s="107"/>
    </row>
    <row r="740" ht="15.75" customHeight="1">
      <c r="A740" s="107"/>
      <c r="B740" s="107"/>
      <c r="C740" s="107"/>
      <c r="D740" s="107"/>
      <c r="E740" s="107"/>
    </row>
    <row r="741" ht="15.75" customHeight="1">
      <c r="A741" s="107"/>
      <c r="B741" s="107"/>
      <c r="C741" s="107"/>
      <c r="D741" s="107"/>
      <c r="E741" s="107"/>
    </row>
    <row r="742" ht="15.75" customHeight="1">
      <c r="A742" s="107"/>
      <c r="B742" s="107"/>
      <c r="C742" s="107"/>
      <c r="D742" s="107"/>
      <c r="E742" s="107"/>
    </row>
    <row r="743" ht="15.75" customHeight="1">
      <c r="A743" s="107"/>
      <c r="B743" s="107"/>
      <c r="C743" s="107"/>
      <c r="D743" s="107"/>
      <c r="E743" s="107"/>
    </row>
    <row r="744" ht="15.75" customHeight="1">
      <c r="A744" s="107"/>
      <c r="B744" s="107"/>
      <c r="C744" s="107"/>
      <c r="D744" s="107"/>
      <c r="E744" s="107"/>
    </row>
    <row r="745" ht="15.75" customHeight="1">
      <c r="A745" s="107"/>
      <c r="B745" s="107"/>
      <c r="C745" s="107"/>
      <c r="D745" s="107"/>
      <c r="E745" s="107"/>
    </row>
    <row r="746" ht="15.75" customHeight="1">
      <c r="A746" s="107"/>
      <c r="B746" s="107"/>
      <c r="C746" s="107"/>
      <c r="D746" s="107"/>
      <c r="E746" s="107"/>
    </row>
    <row r="747" ht="15.75" customHeight="1">
      <c r="A747" s="107"/>
      <c r="B747" s="107"/>
      <c r="C747" s="107"/>
      <c r="D747" s="107"/>
      <c r="E747" s="107"/>
    </row>
    <row r="748" ht="15.75" customHeight="1">
      <c r="A748" s="107"/>
      <c r="B748" s="107"/>
      <c r="C748" s="107"/>
      <c r="D748" s="107"/>
      <c r="E748" s="107"/>
    </row>
    <row r="749" ht="15.75" customHeight="1">
      <c r="A749" s="107"/>
      <c r="B749" s="107"/>
      <c r="C749" s="107"/>
      <c r="D749" s="107"/>
      <c r="E749" s="107"/>
    </row>
    <row r="750" ht="15.75" customHeight="1">
      <c r="A750" s="107"/>
      <c r="B750" s="107"/>
      <c r="C750" s="107"/>
      <c r="D750" s="107"/>
      <c r="E750" s="107"/>
    </row>
    <row r="751" ht="15.75" customHeight="1">
      <c r="A751" s="107"/>
      <c r="B751" s="107"/>
      <c r="C751" s="107"/>
      <c r="D751" s="107"/>
      <c r="E751" s="107"/>
    </row>
    <row r="752" ht="15.75" customHeight="1">
      <c r="A752" s="107"/>
      <c r="B752" s="107"/>
      <c r="C752" s="107"/>
      <c r="D752" s="107"/>
      <c r="E752" s="107"/>
    </row>
    <row r="753" ht="15.75" customHeight="1">
      <c r="A753" s="107"/>
      <c r="B753" s="107"/>
      <c r="C753" s="107"/>
      <c r="D753" s="107"/>
      <c r="E753" s="107"/>
    </row>
    <row r="754" ht="15.75" customHeight="1">
      <c r="A754" s="107"/>
      <c r="B754" s="107"/>
      <c r="C754" s="107"/>
      <c r="D754" s="107"/>
      <c r="E754" s="107"/>
    </row>
    <row r="755" ht="15.75" customHeight="1">
      <c r="A755" s="107"/>
      <c r="B755" s="107"/>
      <c r="C755" s="107"/>
      <c r="D755" s="107"/>
      <c r="E755" s="107"/>
    </row>
    <row r="756" ht="15.75" customHeight="1">
      <c r="A756" s="107"/>
      <c r="B756" s="107"/>
      <c r="C756" s="107"/>
      <c r="D756" s="107"/>
      <c r="E756" s="107"/>
    </row>
    <row r="757" ht="15.75" customHeight="1">
      <c r="A757" s="107"/>
      <c r="B757" s="107"/>
      <c r="C757" s="107"/>
      <c r="D757" s="107"/>
      <c r="E757" s="107"/>
    </row>
    <row r="758" ht="15.75" customHeight="1">
      <c r="A758" s="107"/>
      <c r="B758" s="107"/>
      <c r="C758" s="107"/>
      <c r="D758" s="107"/>
      <c r="E758" s="107"/>
    </row>
    <row r="759" ht="15.75" customHeight="1">
      <c r="A759" s="107"/>
      <c r="B759" s="107"/>
      <c r="C759" s="107"/>
      <c r="D759" s="107"/>
      <c r="E759" s="107"/>
    </row>
    <row r="760" ht="15.75" customHeight="1">
      <c r="A760" s="107"/>
      <c r="B760" s="107"/>
      <c r="C760" s="107"/>
      <c r="D760" s="107"/>
      <c r="E760" s="107"/>
    </row>
    <row r="761" ht="15.75" customHeight="1">
      <c r="A761" s="107"/>
      <c r="B761" s="107"/>
      <c r="C761" s="107"/>
      <c r="D761" s="107"/>
      <c r="E761" s="107"/>
    </row>
    <row r="762" ht="15.75" customHeight="1">
      <c r="A762" s="107"/>
      <c r="B762" s="107"/>
      <c r="C762" s="107"/>
      <c r="D762" s="107"/>
      <c r="E762" s="107"/>
    </row>
    <row r="763" ht="15.75" customHeight="1">
      <c r="A763" s="107"/>
      <c r="B763" s="107"/>
      <c r="C763" s="107"/>
      <c r="D763" s="107"/>
      <c r="E763" s="107"/>
    </row>
    <row r="764" ht="15.75" customHeight="1">
      <c r="A764" s="107"/>
      <c r="B764" s="107"/>
      <c r="C764" s="107"/>
      <c r="D764" s="107"/>
      <c r="E764" s="107"/>
    </row>
    <row r="765" ht="15.75" customHeight="1">
      <c r="A765" s="107"/>
      <c r="B765" s="107"/>
      <c r="C765" s="107"/>
      <c r="D765" s="107"/>
      <c r="E765" s="107"/>
    </row>
    <row r="766" ht="15.75" customHeight="1">
      <c r="A766" s="107"/>
      <c r="B766" s="107"/>
      <c r="C766" s="107"/>
      <c r="D766" s="107"/>
      <c r="E766" s="107"/>
    </row>
    <row r="767" ht="15.75" customHeight="1">
      <c r="A767" s="107"/>
      <c r="B767" s="107"/>
      <c r="C767" s="107"/>
      <c r="D767" s="107"/>
      <c r="E767" s="107"/>
    </row>
    <row r="768" ht="15.75" customHeight="1">
      <c r="A768" s="107"/>
      <c r="B768" s="107"/>
      <c r="C768" s="107"/>
      <c r="D768" s="107"/>
      <c r="E768" s="107"/>
    </row>
    <row r="769" ht="15.75" customHeight="1">
      <c r="A769" s="107"/>
      <c r="B769" s="107"/>
      <c r="C769" s="107"/>
      <c r="D769" s="107"/>
      <c r="E769" s="107"/>
    </row>
    <row r="770" ht="15.75" customHeight="1">
      <c r="A770" s="107"/>
      <c r="B770" s="107"/>
      <c r="C770" s="107"/>
      <c r="D770" s="107"/>
      <c r="E770" s="107"/>
    </row>
    <row r="771" ht="15.75" customHeight="1">
      <c r="A771" s="107"/>
      <c r="B771" s="107"/>
      <c r="C771" s="107"/>
      <c r="D771" s="107"/>
      <c r="E771" s="107"/>
    </row>
    <row r="772" ht="15.75" customHeight="1">
      <c r="A772" s="107"/>
      <c r="B772" s="107"/>
      <c r="C772" s="107"/>
      <c r="D772" s="107"/>
      <c r="E772" s="107"/>
    </row>
    <row r="773" ht="15.75" customHeight="1">
      <c r="A773" s="107"/>
      <c r="B773" s="107"/>
      <c r="C773" s="107"/>
      <c r="D773" s="107"/>
      <c r="E773" s="107"/>
    </row>
    <row r="774" ht="15.75" customHeight="1">
      <c r="A774" s="107"/>
      <c r="B774" s="107"/>
      <c r="C774" s="107"/>
      <c r="D774" s="107"/>
      <c r="E774" s="107"/>
    </row>
    <row r="775" ht="15.75" customHeight="1">
      <c r="A775" s="107"/>
      <c r="B775" s="107"/>
      <c r="C775" s="107"/>
      <c r="D775" s="107"/>
      <c r="E775" s="107"/>
    </row>
    <row r="776" ht="15.75" customHeight="1">
      <c r="A776" s="107"/>
      <c r="B776" s="107"/>
      <c r="C776" s="107"/>
      <c r="D776" s="107"/>
      <c r="E776" s="107"/>
    </row>
    <row r="777" ht="15.75" customHeight="1">
      <c r="A777" s="107"/>
      <c r="B777" s="107"/>
      <c r="C777" s="107"/>
      <c r="D777" s="107"/>
      <c r="E777" s="107"/>
    </row>
    <row r="778" ht="15.75" customHeight="1">
      <c r="A778" s="107"/>
      <c r="B778" s="107"/>
      <c r="C778" s="107"/>
      <c r="D778" s="107"/>
      <c r="E778" s="107"/>
    </row>
    <row r="779" ht="15.75" customHeight="1">
      <c r="A779" s="107"/>
      <c r="B779" s="107"/>
      <c r="C779" s="107"/>
      <c r="D779" s="107"/>
      <c r="E779" s="107"/>
    </row>
    <row r="780" ht="15.75" customHeight="1">
      <c r="A780" s="107"/>
      <c r="B780" s="107"/>
      <c r="C780" s="107"/>
      <c r="D780" s="107"/>
      <c r="E780" s="107"/>
    </row>
    <row r="781" ht="15.75" customHeight="1">
      <c r="A781" s="107"/>
      <c r="B781" s="107"/>
      <c r="C781" s="107"/>
      <c r="D781" s="107"/>
      <c r="E781" s="107"/>
    </row>
    <row r="782" ht="15.75" customHeight="1">
      <c r="A782" s="107"/>
      <c r="B782" s="107"/>
      <c r="C782" s="107"/>
      <c r="D782" s="107"/>
      <c r="E782" s="107"/>
    </row>
    <row r="783" ht="15.75" customHeight="1">
      <c r="A783" s="107"/>
      <c r="B783" s="107"/>
      <c r="C783" s="107"/>
      <c r="D783" s="107"/>
      <c r="E783" s="107"/>
    </row>
    <row r="784" ht="15.75" customHeight="1">
      <c r="A784" s="107"/>
      <c r="B784" s="107"/>
      <c r="C784" s="107"/>
      <c r="D784" s="107"/>
      <c r="E784" s="107"/>
    </row>
    <row r="785" ht="15.75" customHeight="1">
      <c r="A785" s="107"/>
      <c r="B785" s="107"/>
      <c r="C785" s="107"/>
      <c r="D785" s="107"/>
      <c r="E785" s="107"/>
    </row>
    <row r="786" ht="15.75" customHeight="1">
      <c r="A786" s="107"/>
      <c r="B786" s="107"/>
      <c r="C786" s="107"/>
      <c r="D786" s="107"/>
      <c r="E786" s="107"/>
    </row>
    <row r="787" ht="15.75" customHeight="1">
      <c r="A787" s="107"/>
      <c r="B787" s="107"/>
      <c r="C787" s="107"/>
      <c r="D787" s="107"/>
      <c r="E787" s="107"/>
    </row>
    <row r="788" ht="15.75" customHeight="1">
      <c r="A788" s="107"/>
      <c r="B788" s="107"/>
      <c r="C788" s="107"/>
      <c r="D788" s="107"/>
      <c r="E788" s="107"/>
    </row>
    <row r="789" ht="15.75" customHeight="1">
      <c r="A789" s="107"/>
      <c r="B789" s="107"/>
      <c r="C789" s="107"/>
      <c r="D789" s="107"/>
      <c r="E789" s="107"/>
    </row>
    <row r="790" ht="15.75" customHeight="1">
      <c r="A790" s="107"/>
      <c r="B790" s="107"/>
      <c r="C790" s="107"/>
      <c r="D790" s="107"/>
      <c r="E790" s="107"/>
    </row>
    <row r="791" ht="15.75" customHeight="1">
      <c r="A791" s="107"/>
      <c r="B791" s="107"/>
      <c r="C791" s="107"/>
      <c r="D791" s="107"/>
      <c r="E791" s="107"/>
    </row>
    <row r="792" ht="15.75" customHeight="1">
      <c r="A792" s="107"/>
      <c r="B792" s="107"/>
      <c r="C792" s="107"/>
      <c r="D792" s="107"/>
      <c r="E792" s="107"/>
    </row>
    <row r="793" ht="15.75" customHeight="1">
      <c r="A793" s="107"/>
      <c r="B793" s="107"/>
      <c r="C793" s="107"/>
      <c r="D793" s="107"/>
      <c r="E793" s="107"/>
    </row>
    <row r="794" ht="15.75" customHeight="1">
      <c r="A794" s="107"/>
      <c r="B794" s="107"/>
      <c r="C794" s="107"/>
      <c r="D794" s="107"/>
      <c r="E794" s="107"/>
    </row>
    <row r="795" ht="15.75" customHeight="1">
      <c r="A795" s="107"/>
      <c r="B795" s="107"/>
      <c r="C795" s="107"/>
      <c r="D795" s="107"/>
      <c r="E795" s="107"/>
    </row>
    <row r="796" ht="15.75" customHeight="1">
      <c r="A796" s="107"/>
      <c r="B796" s="107"/>
      <c r="C796" s="107"/>
      <c r="D796" s="107"/>
      <c r="E796" s="107"/>
    </row>
    <row r="797" ht="15.75" customHeight="1">
      <c r="A797" s="107"/>
      <c r="B797" s="107"/>
      <c r="C797" s="107"/>
      <c r="D797" s="107"/>
      <c r="E797" s="107"/>
    </row>
    <row r="798" ht="15.75" customHeight="1">
      <c r="A798" s="107"/>
      <c r="B798" s="107"/>
      <c r="C798" s="107"/>
      <c r="D798" s="107"/>
      <c r="E798" s="107"/>
    </row>
    <row r="799" ht="15.75" customHeight="1">
      <c r="A799" s="107"/>
      <c r="B799" s="107"/>
      <c r="C799" s="107"/>
      <c r="D799" s="107"/>
      <c r="E799" s="107"/>
    </row>
    <row r="800" ht="15.75" customHeight="1">
      <c r="A800" s="107"/>
      <c r="B800" s="107"/>
      <c r="C800" s="107"/>
      <c r="D800" s="107"/>
      <c r="E800" s="107"/>
    </row>
    <row r="801" ht="15.75" customHeight="1">
      <c r="A801" s="107"/>
      <c r="B801" s="107"/>
      <c r="C801" s="107"/>
      <c r="D801" s="107"/>
      <c r="E801" s="107"/>
    </row>
    <row r="802" ht="15.75" customHeight="1">
      <c r="A802" s="107"/>
      <c r="B802" s="107"/>
      <c r="C802" s="107"/>
      <c r="D802" s="107"/>
      <c r="E802" s="107"/>
    </row>
    <row r="803" ht="15.75" customHeight="1">
      <c r="A803" s="107"/>
      <c r="B803" s="107"/>
      <c r="C803" s="107"/>
      <c r="D803" s="107"/>
      <c r="E803" s="107"/>
    </row>
    <row r="804" ht="15.75" customHeight="1">
      <c r="A804" s="107"/>
      <c r="B804" s="107"/>
      <c r="C804" s="107"/>
      <c r="D804" s="107"/>
      <c r="E804" s="107"/>
    </row>
    <row r="805" ht="15.75" customHeight="1">
      <c r="A805" s="107"/>
      <c r="B805" s="107"/>
      <c r="C805" s="107"/>
      <c r="D805" s="107"/>
      <c r="E805" s="107"/>
    </row>
    <row r="806" ht="15.75" customHeight="1">
      <c r="A806" s="107"/>
      <c r="B806" s="107"/>
      <c r="C806" s="107"/>
      <c r="D806" s="107"/>
      <c r="E806" s="107"/>
    </row>
    <row r="807" ht="15.75" customHeight="1">
      <c r="A807" s="107"/>
      <c r="B807" s="107"/>
      <c r="C807" s="107"/>
      <c r="D807" s="107"/>
      <c r="E807" s="107"/>
    </row>
    <row r="808" ht="15.75" customHeight="1">
      <c r="A808" s="107"/>
      <c r="B808" s="107"/>
      <c r="C808" s="107"/>
      <c r="D808" s="107"/>
      <c r="E808" s="107"/>
    </row>
    <row r="809" ht="15.75" customHeight="1">
      <c r="A809" s="107"/>
      <c r="B809" s="107"/>
      <c r="C809" s="107"/>
      <c r="D809" s="107"/>
      <c r="E809" s="107"/>
    </row>
    <row r="810" ht="15.75" customHeight="1">
      <c r="A810" s="107"/>
      <c r="B810" s="107"/>
      <c r="C810" s="107"/>
      <c r="D810" s="107"/>
      <c r="E810" s="107"/>
    </row>
    <row r="811" ht="15.75" customHeight="1">
      <c r="A811" s="107"/>
      <c r="B811" s="107"/>
      <c r="C811" s="107"/>
      <c r="D811" s="107"/>
      <c r="E811" s="107"/>
    </row>
    <row r="812" ht="15.75" customHeight="1">
      <c r="A812" s="107"/>
      <c r="B812" s="107"/>
      <c r="C812" s="107"/>
      <c r="D812" s="107"/>
      <c r="E812" s="107"/>
    </row>
    <row r="813" ht="15.75" customHeight="1">
      <c r="A813" s="107"/>
      <c r="B813" s="107"/>
      <c r="C813" s="107"/>
      <c r="D813" s="107"/>
      <c r="E813" s="107"/>
    </row>
    <row r="814" ht="15.75" customHeight="1">
      <c r="A814" s="107"/>
      <c r="B814" s="107"/>
      <c r="C814" s="107"/>
      <c r="D814" s="107"/>
      <c r="E814" s="107"/>
    </row>
    <row r="815" ht="15.75" customHeight="1">
      <c r="A815" s="107"/>
      <c r="B815" s="107"/>
      <c r="C815" s="107"/>
      <c r="D815" s="107"/>
      <c r="E815" s="107"/>
    </row>
    <row r="816" ht="15.75" customHeight="1">
      <c r="A816" s="107"/>
      <c r="B816" s="107"/>
      <c r="C816" s="107"/>
      <c r="D816" s="107"/>
      <c r="E816" s="107"/>
    </row>
    <row r="817" ht="15.75" customHeight="1">
      <c r="A817" s="107"/>
      <c r="B817" s="107"/>
      <c r="C817" s="107"/>
      <c r="D817" s="107"/>
      <c r="E817" s="107"/>
    </row>
    <row r="818" ht="15.75" customHeight="1">
      <c r="A818" s="107"/>
      <c r="B818" s="107"/>
      <c r="C818" s="107"/>
      <c r="D818" s="107"/>
      <c r="E818" s="107"/>
    </row>
    <row r="819" ht="15.75" customHeight="1">
      <c r="A819" s="107"/>
      <c r="B819" s="107"/>
      <c r="C819" s="107"/>
      <c r="D819" s="107"/>
      <c r="E819" s="107"/>
    </row>
    <row r="820" ht="15.75" customHeight="1">
      <c r="A820" s="107"/>
      <c r="B820" s="107"/>
      <c r="C820" s="107"/>
      <c r="D820" s="107"/>
      <c r="E820" s="107"/>
    </row>
    <row r="821" ht="15.75" customHeight="1">
      <c r="A821" s="107"/>
      <c r="B821" s="107"/>
      <c r="C821" s="107"/>
      <c r="D821" s="107"/>
      <c r="E821" s="107"/>
    </row>
    <row r="822" ht="15.75" customHeight="1">
      <c r="A822" s="107"/>
      <c r="B822" s="107"/>
      <c r="C822" s="107"/>
      <c r="D822" s="107"/>
      <c r="E822" s="107"/>
    </row>
    <row r="823" ht="15.75" customHeight="1">
      <c r="A823" s="107"/>
      <c r="B823" s="107"/>
      <c r="C823" s="107"/>
      <c r="D823" s="107"/>
      <c r="E823" s="107"/>
    </row>
    <row r="824" ht="15.75" customHeight="1">
      <c r="A824" s="107"/>
      <c r="B824" s="107"/>
      <c r="C824" s="107"/>
      <c r="D824" s="107"/>
      <c r="E824" s="107"/>
    </row>
    <row r="825" ht="15.75" customHeight="1">
      <c r="A825" s="107"/>
      <c r="B825" s="107"/>
      <c r="C825" s="107"/>
      <c r="D825" s="107"/>
      <c r="E825" s="107"/>
    </row>
    <row r="826" ht="15.75" customHeight="1">
      <c r="A826" s="107"/>
      <c r="B826" s="107"/>
      <c r="C826" s="107"/>
      <c r="D826" s="107"/>
      <c r="E826" s="107"/>
    </row>
    <row r="827" ht="15.75" customHeight="1">
      <c r="A827" s="107"/>
      <c r="B827" s="107"/>
      <c r="C827" s="107"/>
      <c r="D827" s="107"/>
      <c r="E827" s="107"/>
    </row>
    <row r="828" ht="15.75" customHeight="1">
      <c r="A828" s="107"/>
      <c r="B828" s="107"/>
      <c r="C828" s="107"/>
      <c r="D828" s="107"/>
      <c r="E828" s="107"/>
    </row>
    <row r="829" ht="15.75" customHeight="1">
      <c r="A829" s="107"/>
      <c r="B829" s="107"/>
      <c r="C829" s="107"/>
      <c r="D829" s="107"/>
      <c r="E829" s="107"/>
    </row>
    <row r="830" ht="15.75" customHeight="1">
      <c r="A830" s="107"/>
      <c r="B830" s="107"/>
      <c r="C830" s="107"/>
      <c r="D830" s="107"/>
      <c r="E830" s="107"/>
    </row>
    <row r="831" ht="15.75" customHeight="1">
      <c r="A831" s="107"/>
      <c r="B831" s="107"/>
      <c r="C831" s="107"/>
      <c r="D831" s="107"/>
      <c r="E831" s="107"/>
    </row>
    <row r="832" ht="15.75" customHeight="1">
      <c r="A832" s="107"/>
      <c r="B832" s="107"/>
      <c r="C832" s="107"/>
      <c r="D832" s="107"/>
      <c r="E832" s="107"/>
    </row>
    <row r="833" ht="15.75" customHeight="1">
      <c r="A833" s="107"/>
      <c r="B833" s="107"/>
      <c r="C833" s="107"/>
      <c r="D833" s="107"/>
      <c r="E833" s="107"/>
    </row>
    <row r="834" ht="15.75" customHeight="1">
      <c r="A834" s="107"/>
      <c r="B834" s="107"/>
      <c r="C834" s="107"/>
      <c r="D834" s="107"/>
      <c r="E834" s="107"/>
    </row>
    <row r="835" ht="15.75" customHeight="1">
      <c r="A835" s="107"/>
      <c r="B835" s="107"/>
      <c r="C835" s="107"/>
      <c r="D835" s="107"/>
      <c r="E835" s="107"/>
    </row>
    <row r="836" ht="15.75" customHeight="1">
      <c r="A836" s="107"/>
      <c r="B836" s="107"/>
      <c r="C836" s="107"/>
      <c r="D836" s="107"/>
      <c r="E836" s="107"/>
    </row>
    <row r="837" ht="15.75" customHeight="1">
      <c r="A837" s="107"/>
      <c r="B837" s="107"/>
      <c r="C837" s="107"/>
      <c r="D837" s="107"/>
      <c r="E837" s="107"/>
    </row>
    <row r="838" ht="15.75" customHeight="1">
      <c r="A838" s="107"/>
      <c r="B838" s="107"/>
      <c r="C838" s="107"/>
      <c r="D838" s="107"/>
      <c r="E838" s="107"/>
    </row>
    <row r="839" ht="15.75" customHeight="1">
      <c r="A839" s="107"/>
      <c r="B839" s="107"/>
      <c r="C839" s="107"/>
      <c r="D839" s="107"/>
      <c r="E839" s="107"/>
    </row>
    <row r="840" ht="15.75" customHeight="1">
      <c r="A840" s="107"/>
      <c r="B840" s="107"/>
      <c r="C840" s="107"/>
      <c r="D840" s="107"/>
      <c r="E840" s="107"/>
    </row>
    <row r="841" ht="15.75" customHeight="1">
      <c r="A841" s="107"/>
      <c r="B841" s="107"/>
      <c r="C841" s="107"/>
      <c r="D841" s="107"/>
      <c r="E841" s="107"/>
    </row>
    <row r="842" ht="15.75" customHeight="1">
      <c r="A842" s="107"/>
      <c r="B842" s="107"/>
      <c r="C842" s="107"/>
      <c r="D842" s="107"/>
      <c r="E842" s="107"/>
    </row>
    <row r="843" ht="15.75" customHeight="1">
      <c r="A843" s="107"/>
      <c r="B843" s="107"/>
      <c r="C843" s="107"/>
      <c r="D843" s="107"/>
      <c r="E843" s="107"/>
    </row>
    <row r="844" ht="15.75" customHeight="1">
      <c r="A844" s="107"/>
      <c r="B844" s="107"/>
      <c r="C844" s="107"/>
      <c r="D844" s="107"/>
      <c r="E844" s="107"/>
    </row>
    <row r="845" ht="15.75" customHeight="1">
      <c r="A845" s="107"/>
      <c r="B845" s="107"/>
      <c r="C845" s="107"/>
      <c r="D845" s="107"/>
      <c r="E845" s="107"/>
    </row>
    <row r="846" ht="15.75" customHeight="1">
      <c r="A846" s="107"/>
      <c r="B846" s="107"/>
      <c r="C846" s="107"/>
      <c r="D846" s="107"/>
      <c r="E846" s="107"/>
    </row>
    <row r="847" ht="15.75" customHeight="1">
      <c r="A847" s="107"/>
      <c r="B847" s="107"/>
      <c r="C847" s="107"/>
      <c r="D847" s="107"/>
      <c r="E847" s="107"/>
    </row>
    <row r="848" ht="15.75" customHeight="1">
      <c r="A848" s="107"/>
      <c r="B848" s="107"/>
      <c r="C848" s="107"/>
      <c r="D848" s="107"/>
      <c r="E848" s="107"/>
    </row>
    <row r="849" ht="15.75" customHeight="1">
      <c r="A849" s="107"/>
      <c r="B849" s="107"/>
      <c r="C849" s="107"/>
      <c r="D849" s="107"/>
      <c r="E849" s="107"/>
    </row>
    <row r="850" ht="15.75" customHeight="1">
      <c r="A850" s="107"/>
      <c r="B850" s="107"/>
      <c r="C850" s="107"/>
      <c r="D850" s="107"/>
      <c r="E850" s="107"/>
    </row>
    <row r="851" ht="15.75" customHeight="1">
      <c r="A851" s="107"/>
      <c r="B851" s="107"/>
      <c r="C851" s="107"/>
      <c r="D851" s="107"/>
      <c r="E851" s="107"/>
    </row>
    <row r="852" ht="15.75" customHeight="1">
      <c r="A852" s="107"/>
      <c r="B852" s="107"/>
      <c r="C852" s="107"/>
      <c r="D852" s="107"/>
      <c r="E852" s="107"/>
    </row>
    <row r="853" ht="15.75" customHeight="1">
      <c r="A853" s="107"/>
      <c r="B853" s="107"/>
      <c r="C853" s="107"/>
      <c r="D853" s="107"/>
      <c r="E853" s="107"/>
    </row>
    <row r="854" ht="15.75" customHeight="1">
      <c r="A854" s="107"/>
      <c r="B854" s="107"/>
      <c r="C854" s="107"/>
      <c r="D854" s="107"/>
      <c r="E854" s="107"/>
    </row>
    <row r="855" ht="15.75" customHeight="1">
      <c r="A855" s="107"/>
      <c r="B855" s="107"/>
      <c r="C855" s="107"/>
      <c r="D855" s="107"/>
      <c r="E855" s="107"/>
    </row>
    <row r="856" ht="15.75" customHeight="1">
      <c r="A856" s="107"/>
      <c r="B856" s="107"/>
      <c r="C856" s="107"/>
      <c r="D856" s="107"/>
      <c r="E856" s="107"/>
    </row>
    <row r="857" ht="15.75" customHeight="1">
      <c r="A857" s="107"/>
      <c r="B857" s="107"/>
      <c r="C857" s="107"/>
      <c r="D857" s="107"/>
      <c r="E857" s="107"/>
    </row>
    <row r="858" ht="15.75" customHeight="1">
      <c r="A858" s="107"/>
      <c r="B858" s="107"/>
      <c r="C858" s="107"/>
      <c r="D858" s="107"/>
      <c r="E858" s="107"/>
    </row>
    <row r="859" ht="15.75" customHeight="1">
      <c r="A859" s="107"/>
      <c r="B859" s="107"/>
      <c r="C859" s="107"/>
      <c r="D859" s="107"/>
      <c r="E859" s="107"/>
    </row>
    <row r="860" ht="15.75" customHeight="1">
      <c r="A860" s="107"/>
      <c r="B860" s="107"/>
      <c r="C860" s="107"/>
      <c r="D860" s="107"/>
      <c r="E860" s="107"/>
    </row>
    <row r="861" ht="15.75" customHeight="1">
      <c r="A861" s="107"/>
      <c r="B861" s="107"/>
      <c r="C861" s="107"/>
      <c r="D861" s="107"/>
      <c r="E861" s="107"/>
    </row>
    <row r="862" ht="15.75" customHeight="1">
      <c r="A862" s="107"/>
      <c r="B862" s="107"/>
      <c r="C862" s="107"/>
      <c r="D862" s="107"/>
      <c r="E862" s="107"/>
    </row>
    <row r="863" ht="15.75" customHeight="1">
      <c r="A863" s="107"/>
      <c r="B863" s="107"/>
      <c r="C863" s="107"/>
      <c r="D863" s="107"/>
      <c r="E863" s="107"/>
    </row>
    <row r="864" ht="15.75" customHeight="1">
      <c r="A864" s="107"/>
      <c r="B864" s="107"/>
      <c r="C864" s="107"/>
      <c r="D864" s="107"/>
      <c r="E864" s="107"/>
    </row>
    <row r="865" ht="15.75" customHeight="1">
      <c r="A865" s="107"/>
      <c r="B865" s="107"/>
      <c r="C865" s="107"/>
      <c r="D865" s="107"/>
      <c r="E865" s="107"/>
    </row>
    <row r="866" ht="15.75" customHeight="1">
      <c r="A866" s="107"/>
      <c r="B866" s="107"/>
      <c r="C866" s="107"/>
      <c r="D866" s="107"/>
      <c r="E866" s="107"/>
    </row>
    <row r="867" ht="15.75" customHeight="1">
      <c r="A867" s="107"/>
      <c r="B867" s="107"/>
      <c r="C867" s="107"/>
      <c r="D867" s="107"/>
      <c r="E867" s="107"/>
    </row>
    <row r="868" ht="15.75" customHeight="1">
      <c r="A868" s="107"/>
      <c r="B868" s="107"/>
      <c r="C868" s="107"/>
      <c r="D868" s="107"/>
      <c r="E868" s="107"/>
    </row>
    <row r="869" ht="15.75" customHeight="1">
      <c r="A869" s="107"/>
      <c r="B869" s="107"/>
      <c r="C869" s="107"/>
      <c r="D869" s="107"/>
      <c r="E869" s="107"/>
    </row>
    <row r="870" ht="15.75" customHeight="1">
      <c r="A870" s="107"/>
      <c r="B870" s="107"/>
      <c r="C870" s="107"/>
      <c r="D870" s="107"/>
      <c r="E870" s="107"/>
    </row>
    <row r="871" ht="15.75" customHeight="1">
      <c r="A871" s="107"/>
      <c r="B871" s="107"/>
      <c r="C871" s="107"/>
      <c r="D871" s="107"/>
      <c r="E871" s="107"/>
    </row>
    <row r="872" ht="15.75" customHeight="1">
      <c r="A872" s="107"/>
      <c r="B872" s="107"/>
      <c r="C872" s="107"/>
      <c r="D872" s="107"/>
      <c r="E872" s="107"/>
    </row>
    <row r="873" ht="15.75" customHeight="1">
      <c r="A873" s="107"/>
      <c r="B873" s="107"/>
      <c r="C873" s="107"/>
      <c r="D873" s="107"/>
      <c r="E873" s="107"/>
    </row>
    <row r="874" ht="15.75" customHeight="1">
      <c r="A874" s="107"/>
      <c r="B874" s="107"/>
      <c r="C874" s="107"/>
      <c r="D874" s="107"/>
      <c r="E874" s="107"/>
    </row>
    <row r="875" ht="15.75" customHeight="1">
      <c r="A875" s="107"/>
      <c r="B875" s="107"/>
      <c r="C875" s="107"/>
      <c r="D875" s="107"/>
      <c r="E875" s="107"/>
    </row>
    <row r="876" ht="15.75" customHeight="1">
      <c r="A876" s="107"/>
      <c r="B876" s="107"/>
      <c r="C876" s="107"/>
      <c r="D876" s="107"/>
      <c r="E876" s="107"/>
    </row>
    <row r="877" ht="15.75" customHeight="1">
      <c r="A877" s="107"/>
      <c r="B877" s="107"/>
      <c r="C877" s="107"/>
      <c r="D877" s="107"/>
      <c r="E877" s="107"/>
    </row>
    <row r="878" ht="15.75" customHeight="1">
      <c r="A878" s="107"/>
      <c r="B878" s="107"/>
      <c r="C878" s="107"/>
      <c r="D878" s="107"/>
      <c r="E878" s="107"/>
    </row>
    <row r="879" ht="15.75" customHeight="1">
      <c r="A879" s="107"/>
      <c r="B879" s="107"/>
      <c r="C879" s="107"/>
      <c r="D879" s="107"/>
      <c r="E879" s="107"/>
    </row>
    <row r="880" ht="15.75" customHeight="1">
      <c r="A880" s="107"/>
      <c r="B880" s="107"/>
      <c r="C880" s="107"/>
      <c r="D880" s="107"/>
      <c r="E880" s="107"/>
    </row>
    <row r="881" ht="15.75" customHeight="1">
      <c r="A881" s="107"/>
      <c r="B881" s="107"/>
      <c r="C881" s="107"/>
      <c r="D881" s="107"/>
      <c r="E881" s="107"/>
    </row>
    <row r="882" ht="15.75" customHeight="1">
      <c r="A882" s="107"/>
      <c r="B882" s="107"/>
      <c r="C882" s="107"/>
      <c r="D882" s="107"/>
      <c r="E882" s="107"/>
    </row>
    <row r="883" ht="15.75" customHeight="1">
      <c r="A883" s="107"/>
      <c r="B883" s="107"/>
      <c r="C883" s="107"/>
      <c r="D883" s="107"/>
      <c r="E883" s="107"/>
    </row>
    <row r="884" ht="15.75" customHeight="1">
      <c r="A884" s="107"/>
      <c r="B884" s="107"/>
      <c r="C884" s="107"/>
      <c r="D884" s="107"/>
      <c r="E884" s="107"/>
    </row>
    <row r="885" ht="15.75" customHeight="1">
      <c r="A885" s="107"/>
      <c r="B885" s="107"/>
      <c r="C885" s="107"/>
      <c r="D885" s="107"/>
      <c r="E885" s="107"/>
    </row>
    <row r="886" ht="15.75" customHeight="1">
      <c r="A886" s="107"/>
      <c r="B886" s="107"/>
      <c r="C886" s="107"/>
      <c r="D886" s="107"/>
      <c r="E886" s="107"/>
    </row>
    <row r="887" ht="15.75" customHeight="1">
      <c r="A887" s="107"/>
      <c r="B887" s="107"/>
      <c r="C887" s="107"/>
      <c r="D887" s="107"/>
      <c r="E887" s="107"/>
    </row>
    <row r="888" ht="15.75" customHeight="1">
      <c r="A888" s="107"/>
      <c r="B888" s="107"/>
      <c r="C888" s="107"/>
      <c r="D888" s="107"/>
      <c r="E888" s="107"/>
    </row>
    <row r="889" ht="15.75" customHeight="1">
      <c r="A889" s="107"/>
      <c r="B889" s="107"/>
      <c r="C889" s="107"/>
      <c r="D889" s="107"/>
      <c r="E889" s="107"/>
    </row>
    <row r="890" ht="15.75" customHeight="1">
      <c r="A890" s="107"/>
      <c r="B890" s="107"/>
      <c r="C890" s="107"/>
      <c r="D890" s="107"/>
      <c r="E890" s="107"/>
    </row>
    <row r="891" ht="15.75" customHeight="1">
      <c r="A891" s="107"/>
      <c r="B891" s="107"/>
      <c r="C891" s="107"/>
      <c r="D891" s="107"/>
      <c r="E891" s="107"/>
    </row>
    <row r="892" ht="15.75" customHeight="1">
      <c r="A892" s="107"/>
      <c r="B892" s="107"/>
      <c r="C892" s="107"/>
      <c r="D892" s="107"/>
      <c r="E892" s="107"/>
    </row>
    <row r="893" ht="15.75" customHeight="1">
      <c r="A893" s="107"/>
      <c r="B893" s="107"/>
      <c r="C893" s="107"/>
      <c r="D893" s="107"/>
      <c r="E893" s="107"/>
    </row>
    <row r="894" ht="15.75" customHeight="1">
      <c r="A894" s="107"/>
      <c r="B894" s="107"/>
      <c r="C894" s="107"/>
      <c r="D894" s="107"/>
      <c r="E894" s="107"/>
    </row>
    <row r="895" ht="15.75" customHeight="1">
      <c r="A895" s="107"/>
      <c r="B895" s="107"/>
      <c r="C895" s="107"/>
      <c r="D895" s="107"/>
      <c r="E895" s="107"/>
    </row>
    <row r="896" ht="15.75" customHeight="1">
      <c r="A896" s="107"/>
      <c r="B896" s="107"/>
      <c r="C896" s="107"/>
      <c r="D896" s="107"/>
      <c r="E896" s="107"/>
    </row>
    <row r="897" ht="15.75" customHeight="1">
      <c r="A897" s="107"/>
      <c r="B897" s="107"/>
      <c r="C897" s="107"/>
      <c r="D897" s="107"/>
      <c r="E897" s="107"/>
    </row>
    <row r="898" ht="15.75" customHeight="1">
      <c r="A898" s="107"/>
      <c r="B898" s="107"/>
      <c r="C898" s="107"/>
      <c r="D898" s="107"/>
      <c r="E898" s="107"/>
    </row>
    <row r="899" ht="15.75" customHeight="1">
      <c r="A899" s="107"/>
      <c r="B899" s="107"/>
      <c r="C899" s="107"/>
      <c r="D899" s="107"/>
      <c r="E899" s="107"/>
    </row>
    <row r="900" ht="15.75" customHeight="1">
      <c r="A900" s="107"/>
      <c r="B900" s="107"/>
      <c r="C900" s="107"/>
      <c r="D900" s="107"/>
      <c r="E900" s="107"/>
    </row>
    <row r="901" ht="15.75" customHeight="1">
      <c r="A901" s="107"/>
      <c r="B901" s="107"/>
      <c r="C901" s="107"/>
      <c r="D901" s="107"/>
      <c r="E901" s="107"/>
    </row>
    <row r="902" ht="15.75" customHeight="1">
      <c r="A902" s="107"/>
      <c r="B902" s="107"/>
      <c r="C902" s="107"/>
      <c r="D902" s="107"/>
      <c r="E902" s="107"/>
    </row>
    <row r="903" ht="15.75" customHeight="1">
      <c r="A903" s="107"/>
      <c r="B903" s="107"/>
      <c r="C903" s="107"/>
      <c r="D903" s="107"/>
      <c r="E903" s="107"/>
    </row>
    <row r="904" ht="15.75" customHeight="1">
      <c r="A904" s="107"/>
      <c r="B904" s="107"/>
      <c r="C904" s="107"/>
      <c r="D904" s="107"/>
      <c r="E904" s="107"/>
    </row>
    <row r="905" ht="15.75" customHeight="1">
      <c r="A905" s="107"/>
      <c r="B905" s="107"/>
      <c r="C905" s="107"/>
      <c r="D905" s="107"/>
      <c r="E905" s="107"/>
    </row>
    <row r="906" ht="15.75" customHeight="1">
      <c r="A906" s="107"/>
      <c r="B906" s="107"/>
      <c r="C906" s="107"/>
      <c r="D906" s="107"/>
      <c r="E906" s="107"/>
    </row>
    <row r="907" ht="15.75" customHeight="1">
      <c r="A907" s="107"/>
      <c r="B907" s="107"/>
      <c r="C907" s="107"/>
      <c r="D907" s="107"/>
      <c r="E907" s="107"/>
    </row>
    <row r="908" ht="15.75" customHeight="1">
      <c r="A908" s="107"/>
      <c r="B908" s="107"/>
      <c r="C908" s="107"/>
      <c r="D908" s="107"/>
      <c r="E908" s="107"/>
    </row>
    <row r="909" ht="15.75" customHeight="1">
      <c r="A909" s="107"/>
      <c r="B909" s="107"/>
      <c r="C909" s="107"/>
      <c r="D909" s="107"/>
      <c r="E909" s="107"/>
    </row>
    <row r="910" ht="15.75" customHeight="1">
      <c r="A910" s="107"/>
      <c r="B910" s="107"/>
      <c r="C910" s="107"/>
      <c r="D910" s="107"/>
      <c r="E910" s="107"/>
    </row>
    <row r="911" ht="15.75" customHeight="1">
      <c r="A911" s="107"/>
      <c r="B911" s="107"/>
      <c r="C911" s="107"/>
      <c r="D911" s="107"/>
      <c r="E911" s="107"/>
    </row>
    <row r="912" ht="15.75" customHeight="1">
      <c r="A912" s="107"/>
      <c r="B912" s="107"/>
      <c r="C912" s="107"/>
      <c r="D912" s="107"/>
      <c r="E912" s="107"/>
    </row>
    <row r="913" ht="15.75" customHeight="1">
      <c r="A913" s="107"/>
      <c r="B913" s="107"/>
      <c r="C913" s="107"/>
      <c r="D913" s="107"/>
      <c r="E913" s="107"/>
    </row>
    <row r="914" ht="15.75" customHeight="1">
      <c r="A914" s="107"/>
      <c r="B914" s="107"/>
      <c r="C914" s="107"/>
      <c r="D914" s="107"/>
      <c r="E914" s="107"/>
    </row>
    <row r="915" ht="15.75" customHeight="1">
      <c r="A915" s="107"/>
      <c r="B915" s="107"/>
      <c r="C915" s="107"/>
      <c r="D915" s="107"/>
      <c r="E915" s="107"/>
    </row>
    <row r="916" ht="15.75" customHeight="1">
      <c r="A916" s="107"/>
      <c r="B916" s="107"/>
      <c r="C916" s="107"/>
      <c r="D916" s="107"/>
      <c r="E916" s="107"/>
    </row>
    <row r="917" ht="15.75" customHeight="1">
      <c r="A917" s="107"/>
      <c r="B917" s="107"/>
      <c r="C917" s="107"/>
      <c r="D917" s="107"/>
      <c r="E917" s="107"/>
    </row>
    <row r="918" ht="15.75" customHeight="1">
      <c r="A918" s="107"/>
      <c r="B918" s="107"/>
      <c r="C918" s="107"/>
      <c r="D918" s="107"/>
      <c r="E918" s="107"/>
    </row>
    <row r="919" ht="15.75" customHeight="1">
      <c r="A919" s="107"/>
      <c r="B919" s="107"/>
      <c r="C919" s="107"/>
      <c r="D919" s="107"/>
      <c r="E919" s="107"/>
    </row>
    <row r="920" ht="15.75" customHeight="1">
      <c r="A920" s="107"/>
      <c r="B920" s="107"/>
      <c r="C920" s="107"/>
      <c r="D920" s="107"/>
      <c r="E920" s="107"/>
    </row>
    <row r="921" ht="15.75" customHeight="1">
      <c r="A921" s="107"/>
      <c r="B921" s="107"/>
      <c r="C921" s="107"/>
      <c r="D921" s="107"/>
      <c r="E921" s="107"/>
    </row>
    <row r="922" ht="15.75" customHeight="1">
      <c r="A922" s="107"/>
      <c r="B922" s="107"/>
      <c r="C922" s="107"/>
      <c r="D922" s="107"/>
      <c r="E922" s="107"/>
    </row>
    <row r="923" ht="15.75" customHeight="1">
      <c r="A923" s="107"/>
      <c r="B923" s="107"/>
      <c r="C923" s="107"/>
      <c r="D923" s="107"/>
      <c r="E923" s="107"/>
    </row>
    <row r="924" ht="15.75" customHeight="1">
      <c r="A924" s="107"/>
      <c r="B924" s="107"/>
      <c r="C924" s="107"/>
      <c r="D924" s="107"/>
      <c r="E924" s="107"/>
    </row>
    <row r="925" ht="15.75" customHeight="1">
      <c r="A925" s="107"/>
      <c r="B925" s="107"/>
      <c r="C925" s="107"/>
      <c r="D925" s="107"/>
      <c r="E925" s="107"/>
    </row>
    <row r="926" ht="15.75" customHeight="1">
      <c r="A926" s="107"/>
      <c r="B926" s="107"/>
      <c r="C926" s="107"/>
      <c r="D926" s="107"/>
      <c r="E926" s="107"/>
    </row>
    <row r="927" ht="15.75" customHeight="1">
      <c r="A927" s="107"/>
      <c r="B927" s="107"/>
      <c r="C927" s="107"/>
      <c r="D927" s="107"/>
      <c r="E927" s="107"/>
    </row>
    <row r="928" ht="15.75" customHeight="1">
      <c r="A928" s="107"/>
      <c r="B928" s="107"/>
      <c r="C928" s="107"/>
      <c r="D928" s="107"/>
      <c r="E928" s="107"/>
    </row>
    <row r="929" ht="15.75" customHeight="1">
      <c r="A929" s="107"/>
      <c r="B929" s="107"/>
      <c r="C929" s="107"/>
      <c r="D929" s="107"/>
      <c r="E929" s="107"/>
    </row>
    <row r="930" ht="15.75" customHeight="1">
      <c r="A930" s="107"/>
      <c r="B930" s="107"/>
      <c r="C930" s="107"/>
      <c r="D930" s="107"/>
      <c r="E930" s="107"/>
    </row>
    <row r="931" ht="15.75" customHeight="1">
      <c r="A931" s="107"/>
      <c r="B931" s="107"/>
      <c r="C931" s="107"/>
      <c r="D931" s="107"/>
      <c r="E931" s="107"/>
    </row>
    <row r="932" ht="15.75" customHeight="1">
      <c r="A932" s="107"/>
      <c r="B932" s="107"/>
      <c r="C932" s="107"/>
      <c r="D932" s="107"/>
      <c r="E932" s="107"/>
    </row>
    <row r="933" ht="15.75" customHeight="1">
      <c r="A933" s="107"/>
      <c r="B933" s="107"/>
      <c r="C933" s="107"/>
      <c r="D933" s="107"/>
      <c r="E933" s="107"/>
    </row>
    <row r="934" ht="15.75" customHeight="1">
      <c r="A934" s="107"/>
      <c r="B934" s="107"/>
      <c r="C934" s="107"/>
      <c r="D934" s="107"/>
      <c r="E934" s="107"/>
    </row>
    <row r="935" ht="15.75" customHeight="1">
      <c r="A935" s="107"/>
      <c r="B935" s="107"/>
      <c r="C935" s="107"/>
      <c r="D935" s="107"/>
      <c r="E935" s="107"/>
    </row>
    <row r="936" ht="15.75" customHeight="1">
      <c r="A936" s="107"/>
      <c r="B936" s="107"/>
      <c r="C936" s="107"/>
      <c r="D936" s="107"/>
      <c r="E936" s="107"/>
    </row>
    <row r="937" ht="15.75" customHeight="1">
      <c r="A937" s="107"/>
      <c r="B937" s="107"/>
      <c r="C937" s="107"/>
      <c r="D937" s="107"/>
      <c r="E937" s="107"/>
    </row>
    <row r="938" ht="15.75" customHeight="1">
      <c r="A938" s="107"/>
      <c r="B938" s="107"/>
      <c r="C938" s="107"/>
      <c r="D938" s="107"/>
      <c r="E938" s="107"/>
    </row>
    <row r="939" ht="15.75" customHeight="1">
      <c r="A939" s="107"/>
      <c r="B939" s="107"/>
      <c r="C939" s="107"/>
      <c r="D939" s="107"/>
      <c r="E939" s="107"/>
    </row>
    <row r="940" ht="15.75" customHeight="1">
      <c r="A940" s="107"/>
      <c r="B940" s="107"/>
      <c r="C940" s="107"/>
      <c r="D940" s="107"/>
      <c r="E940" s="107"/>
    </row>
    <row r="941" ht="15.75" customHeight="1">
      <c r="A941" s="107"/>
      <c r="B941" s="107"/>
      <c r="C941" s="107"/>
      <c r="D941" s="107"/>
      <c r="E941" s="107"/>
    </row>
    <row r="942" ht="15.75" customHeight="1">
      <c r="A942" s="107"/>
      <c r="B942" s="107"/>
      <c r="C942" s="107"/>
      <c r="D942" s="107"/>
      <c r="E942" s="107"/>
    </row>
    <row r="943" ht="15.75" customHeight="1">
      <c r="A943" s="107"/>
      <c r="B943" s="107"/>
      <c r="C943" s="107"/>
      <c r="D943" s="107"/>
      <c r="E943" s="107"/>
    </row>
    <row r="944" ht="15.75" customHeight="1">
      <c r="A944" s="107"/>
      <c r="B944" s="107"/>
      <c r="C944" s="107"/>
      <c r="D944" s="107"/>
      <c r="E944" s="107"/>
    </row>
    <row r="945" ht="15.75" customHeight="1">
      <c r="A945" s="107"/>
      <c r="B945" s="107"/>
      <c r="C945" s="107"/>
      <c r="D945" s="107"/>
      <c r="E945" s="107"/>
    </row>
    <row r="946" ht="15.75" customHeight="1">
      <c r="A946" s="107"/>
      <c r="B946" s="107"/>
      <c r="C946" s="107"/>
      <c r="D946" s="107"/>
      <c r="E946" s="107"/>
    </row>
    <row r="947" ht="15.75" customHeight="1">
      <c r="A947" s="107"/>
      <c r="B947" s="107"/>
      <c r="C947" s="107"/>
      <c r="D947" s="107"/>
      <c r="E947" s="107"/>
    </row>
    <row r="948" ht="15.75" customHeight="1">
      <c r="A948" s="107"/>
      <c r="B948" s="107"/>
      <c r="C948" s="107"/>
      <c r="D948" s="107"/>
      <c r="E948" s="107"/>
    </row>
    <row r="949" ht="15.75" customHeight="1">
      <c r="A949" s="107"/>
      <c r="B949" s="107"/>
      <c r="C949" s="107"/>
      <c r="D949" s="107"/>
      <c r="E949" s="107"/>
    </row>
    <row r="950" ht="15.75" customHeight="1">
      <c r="A950" s="107"/>
      <c r="B950" s="107"/>
      <c r="C950" s="107"/>
      <c r="D950" s="107"/>
      <c r="E950" s="107"/>
    </row>
    <row r="951" ht="15.75" customHeight="1">
      <c r="A951" s="107"/>
      <c r="B951" s="107"/>
      <c r="C951" s="107"/>
      <c r="D951" s="107"/>
      <c r="E951" s="107"/>
    </row>
    <row r="952" ht="15.75" customHeight="1">
      <c r="A952" s="107"/>
      <c r="B952" s="107"/>
      <c r="C952" s="107"/>
      <c r="D952" s="107"/>
      <c r="E952" s="107"/>
    </row>
    <row r="953" ht="15.75" customHeight="1">
      <c r="A953" s="107"/>
      <c r="B953" s="107"/>
      <c r="C953" s="107"/>
      <c r="D953" s="107"/>
      <c r="E953" s="107"/>
    </row>
    <row r="954" ht="15.75" customHeight="1">
      <c r="A954" s="107"/>
      <c r="B954" s="107"/>
      <c r="C954" s="107"/>
      <c r="D954" s="107"/>
      <c r="E954" s="107"/>
    </row>
    <row r="955" ht="15.75" customHeight="1">
      <c r="A955" s="107"/>
      <c r="B955" s="107"/>
      <c r="C955" s="107"/>
      <c r="D955" s="107"/>
      <c r="E955" s="107"/>
    </row>
    <row r="956" ht="15.75" customHeight="1">
      <c r="A956" s="107"/>
      <c r="B956" s="107"/>
      <c r="C956" s="107"/>
      <c r="D956" s="107"/>
      <c r="E956" s="107"/>
    </row>
    <row r="957" ht="15.75" customHeight="1">
      <c r="A957" s="107"/>
      <c r="B957" s="107"/>
      <c r="C957" s="107"/>
      <c r="D957" s="107"/>
      <c r="E957" s="107"/>
    </row>
    <row r="958" ht="15.75" customHeight="1">
      <c r="A958" s="107"/>
      <c r="B958" s="107"/>
      <c r="C958" s="107"/>
      <c r="D958" s="107"/>
      <c r="E958" s="107"/>
    </row>
    <row r="959" ht="15.75" customHeight="1">
      <c r="A959" s="107"/>
      <c r="B959" s="107"/>
      <c r="C959" s="107"/>
      <c r="D959" s="107"/>
      <c r="E959" s="107"/>
    </row>
    <row r="960" ht="15.75" customHeight="1">
      <c r="A960" s="107"/>
      <c r="B960" s="107"/>
      <c r="C960" s="107"/>
      <c r="D960" s="107"/>
      <c r="E960" s="107"/>
    </row>
    <row r="961" ht="15.75" customHeight="1">
      <c r="A961" s="107"/>
      <c r="B961" s="107"/>
      <c r="C961" s="107"/>
      <c r="D961" s="107"/>
      <c r="E961" s="107"/>
    </row>
    <row r="962" ht="15.75" customHeight="1">
      <c r="A962" s="107"/>
      <c r="B962" s="107"/>
      <c r="C962" s="107"/>
      <c r="D962" s="107"/>
      <c r="E962" s="107"/>
    </row>
    <row r="963" ht="15.75" customHeight="1">
      <c r="A963" s="107"/>
      <c r="B963" s="107"/>
      <c r="C963" s="107"/>
      <c r="D963" s="107"/>
      <c r="E963" s="107"/>
    </row>
    <row r="964" ht="15.75" customHeight="1">
      <c r="A964" s="107"/>
      <c r="B964" s="107"/>
      <c r="C964" s="107"/>
      <c r="D964" s="107"/>
      <c r="E964" s="107"/>
    </row>
    <row r="965" ht="15.75" customHeight="1">
      <c r="A965" s="107"/>
      <c r="B965" s="107"/>
      <c r="C965" s="107"/>
      <c r="D965" s="107"/>
      <c r="E965" s="107"/>
    </row>
    <row r="966" ht="15.75" customHeight="1">
      <c r="A966" s="107"/>
      <c r="B966" s="107"/>
      <c r="C966" s="107"/>
      <c r="D966" s="107"/>
      <c r="E966" s="107"/>
    </row>
    <row r="967" ht="15.75" customHeight="1">
      <c r="A967" s="107"/>
      <c r="B967" s="107"/>
      <c r="C967" s="107"/>
      <c r="D967" s="107"/>
      <c r="E967" s="107"/>
    </row>
    <row r="968" ht="15.75" customHeight="1">
      <c r="A968" s="107"/>
      <c r="B968" s="107"/>
      <c r="C968" s="107"/>
      <c r="D968" s="107"/>
      <c r="E968" s="107"/>
    </row>
    <row r="969" ht="15.75" customHeight="1">
      <c r="A969" s="107"/>
      <c r="B969" s="107"/>
      <c r="C969" s="107"/>
      <c r="D969" s="107"/>
      <c r="E969" s="107"/>
    </row>
    <row r="970" ht="15.75" customHeight="1">
      <c r="A970" s="107"/>
      <c r="B970" s="107"/>
      <c r="C970" s="107"/>
      <c r="D970" s="107"/>
      <c r="E970" s="107"/>
    </row>
    <row r="971" ht="15.75" customHeight="1">
      <c r="A971" s="107"/>
      <c r="B971" s="107"/>
      <c r="C971" s="107"/>
      <c r="D971" s="107"/>
      <c r="E971" s="107"/>
    </row>
    <row r="972" ht="15.75" customHeight="1">
      <c r="A972" s="107"/>
      <c r="B972" s="107"/>
      <c r="C972" s="107"/>
      <c r="D972" s="107"/>
      <c r="E972" s="107"/>
    </row>
    <row r="973" ht="15.75" customHeight="1">
      <c r="A973" s="107"/>
      <c r="B973" s="107"/>
      <c r="C973" s="107"/>
      <c r="D973" s="107"/>
      <c r="E973" s="107"/>
    </row>
    <row r="974" ht="15.75" customHeight="1">
      <c r="A974" s="107"/>
      <c r="B974" s="107"/>
      <c r="C974" s="107"/>
      <c r="D974" s="107"/>
      <c r="E974" s="107"/>
    </row>
    <row r="975" ht="15.75" customHeight="1">
      <c r="A975" s="107"/>
      <c r="B975" s="107"/>
      <c r="C975" s="107"/>
      <c r="D975" s="107"/>
      <c r="E975" s="107"/>
    </row>
    <row r="976" ht="15.75" customHeight="1">
      <c r="A976" s="107"/>
      <c r="B976" s="107"/>
      <c r="C976" s="107"/>
      <c r="D976" s="107"/>
      <c r="E976" s="107"/>
    </row>
    <row r="977" ht="15.75" customHeight="1">
      <c r="A977" s="107"/>
      <c r="B977" s="107"/>
      <c r="C977" s="107"/>
      <c r="D977" s="107"/>
      <c r="E977" s="107"/>
    </row>
    <row r="978" ht="15.75" customHeight="1">
      <c r="A978" s="107"/>
      <c r="B978" s="107"/>
      <c r="C978" s="107"/>
      <c r="D978" s="107"/>
      <c r="E978" s="107"/>
    </row>
    <row r="979" ht="15.75" customHeight="1">
      <c r="A979" s="107"/>
      <c r="B979" s="107"/>
      <c r="C979" s="107"/>
      <c r="D979" s="107"/>
      <c r="E979" s="107"/>
    </row>
    <row r="980" ht="15.75" customHeight="1">
      <c r="A980" s="107"/>
      <c r="B980" s="107"/>
      <c r="C980" s="107"/>
      <c r="D980" s="107"/>
      <c r="E980" s="107"/>
    </row>
    <row r="981" ht="15.75" customHeight="1">
      <c r="A981" s="107"/>
      <c r="B981" s="107"/>
      <c r="C981" s="107"/>
      <c r="D981" s="107"/>
      <c r="E981" s="107"/>
    </row>
    <row r="982" ht="15.75" customHeight="1">
      <c r="A982" s="107"/>
      <c r="B982" s="107"/>
      <c r="C982" s="107"/>
      <c r="D982" s="107"/>
      <c r="E982" s="107"/>
    </row>
    <row r="983" ht="15.75" customHeight="1">
      <c r="A983" s="107"/>
      <c r="B983" s="107"/>
      <c r="C983" s="107"/>
      <c r="D983" s="107"/>
      <c r="E983" s="107"/>
    </row>
    <row r="984" ht="15.75" customHeight="1">
      <c r="A984" s="107"/>
      <c r="B984" s="107"/>
      <c r="C984" s="107"/>
      <c r="D984" s="107"/>
      <c r="E984" s="107"/>
    </row>
    <row r="985" ht="15.75" customHeight="1">
      <c r="A985" s="107"/>
      <c r="B985" s="107"/>
      <c r="C985" s="107"/>
      <c r="D985" s="107"/>
      <c r="E985" s="107"/>
    </row>
    <row r="986" ht="15.75" customHeight="1">
      <c r="A986" s="107"/>
      <c r="B986" s="107"/>
      <c r="C986" s="107"/>
      <c r="D986" s="107"/>
      <c r="E986" s="107"/>
    </row>
    <row r="987" ht="15.75" customHeight="1">
      <c r="A987" s="107"/>
      <c r="B987" s="107"/>
      <c r="C987" s="107"/>
      <c r="D987" s="107"/>
      <c r="E987" s="107"/>
    </row>
    <row r="988" ht="15.75" customHeight="1">
      <c r="A988" s="107"/>
      <c r="B988" s="107"/>
      <c r="C988" s="107"/>
      <c r="D988" s="107"/>
      <c r="E988" s="107"/>
    </row>
    <row r="989" ht="15.75" customHeight="1">
      <c r="A989" s="107"/>
      <c r="B989" s="107"/>
      <c r="C989" s="107"/>
      <c r="D989" s="107"/>
      <c r="E989" s="107"/>
    </row>
    <row r="990" ht="15.75" customHeight="1">
      <c r="A990" s="107"/>
      <c r="B990" s="107"/>
      <c r="C990" s="107"/>
      <c r="D990" s="107"/>
      <c r="E990" s="107"/>
    </row>
    <row r="991" ht="15.75" customHeight="1">
      <c r="A991" s="107"/>
      <c r="B991" s="107"/>
      <c r="C991" s="107"/>
      <c r="D991" s="107"/>
      <c r="E991" s="107"/>
    </row>
    <row r="992" ht="15.75" customHeight="1">
      <c r="A992" s="107"/>
      <c r="B992" s="107"/>
      <c r="C992" s="107"/>
      <c r="D992" s="107"/>
      <c r="E992" s="107"/>
    </row>
    <row r="993" ht="15.75" customHeight="1">
      <c r="A993" s="107"/>
      <c r="B993" s="107"/>
      <c r="C993" s="107"/>
      <c r="D993" s="107"/>
      <c r="E993" s="107"/>
    </row>
    <row r="994" ht="15.75" customHeight="1">
      <c r="A994" s="107"/>
      <c r="B994" s="107"/>
      <c r="C994" s="107"/>
      <c r="D994" s="107"/>
      <c r="E994" s="107"/>
    </row>
    <row r="995" ht="15.75" customHeight="1">
      <c r="A995" s="107"/>
      <c r="B995" s="107"/>
      <c r="C995" s="107"/>
      <c r="D995" s="107"/>
      <c r="E995" s="107"/>
    </row>
    <row r="996" ht="15.75" customHeight="1">
      <c r="A996" s="107"/>
      <c r="B996" s="107"/>
      <c r="C996" s="107"/>
      <c r="D996" s="107"/>
      <c r="E996" s="107"/>
    </row>
    <row r="997" ht="15.75" customHeight="1">
      <c r="A997" s="107"/>
      <c r="B997" s="107"/>
      <c r="C997" s="107"/>
      <c r="D997" s="107"/>
      <c r="E997" s="107"/>
    </row>
    <row r="998" ht="15.75" customHeight="1">
      <c r="A998" s="107"/>
      <c r="B998" s="107"/>
      <c r="C998" s="107"/>
      <c r="D998" s="107"/>
      <c r="E998" s="107"/>
    </row>
    <row r="999" ht="15.75" customHeight="1">
      <c r="A999" s="107"/>
      <c r="B999" s="107"/>
      <c r="C999" s="107"/>
      <c r="D999" s="107"/>
      <c r="E999" s="107"/>
    </row>
    <row r="1000" ht="15.75" customHeight="1">
      <c r="A1000" s="107"/>
      <c r="B1000" s="107"/>
      <c r="C1000" s="107"/>
      <c r="D1000" s="107"/>
      <c r="E1000" s="107"/>
    </row>
    <row r="1001" ht="15.75" customHeight="1">
      <c r="A1001" s="107"/>
      <c r="B1001" s="107"/>
      <c r="C1001" s="107"/>
      <c r="D1001" s="107"/>
      <c r="E1001" s="107"/>
    </row>
  </sheetData>
  <mergeCells count="509"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BT3:BT4"/>
    <mergeCell ref="BU3:BU4"/>
    <mergeCell ref="BV3:BV4"/>
    <mergeCell ref="BW3:BW4"/>
    <mergeCell ref="BX3:BX4"/>
    <mergeCell ref="BM3:BM4"/>
    <mergeCell ref="BN3:BN4"/>
    <mergeCell ref="BO3:BO4"/>
    <mergeCell ref="BP3:BP4"/>
    <mergeCell ref="BQ3:BQ4"/>
    <mergeCell ref="BR3:BR4"/>
    <mergeCell ref="BS3:BS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R1:W1"/>
    <mergeCell ref="AE1:AJ1"/>
    <mergeCell ref="AK1:AP1"/>
    <mergeCell ref="AQ1:AV1"/>
    <mergeCell ref="AW1:BA1"/>
    <mergeCell ref="BB1:BF1"/>
    <mergeCell ref="A3:A4"/>
    <mergeCell ref="BF3:BF4"/>
    <mergeCell ref="BG3:BG4"/>
    <mergeCell ref="BH3:BH4"/>
    <mergeCell ref="BI3:BI4"/>
    <mergeCell ref="BJ3:BJ4"/>
    <mergeCell ref="BK3:BK4"/>
    <mergeCell ref="BL3:BL4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T5:BT6"/>
    <mergeCell ref="BU5:BU6"/>
    <mergeCell ref="BV5:BV6"/>
    <mergeCell ref="BW5:BW6"/>
    <mergeCell ref="BX5:BX6"/>
    <mergeCell ref="BM5:BM6"/>
    <mergeCell ref="BN5:BN6"/>
    <mergeCell ref="BO5:BO6"/>
    <mergeCell ref="BP5:BP6"/>
    <mergeCell ref="BQ5:BQ6"/>
    <mergeCell ref="BR5:BR6"/>
    <mergeCell ref="BS5:BS6"/>
    <mergeCell ref="BW7:BW8"/>
    <mergeCell ref="BX7:BX8"/>
    <mergeCell ref="BP7:BP8"/>
    <mergeCell ref="BQ7:BQ8"/>
    <mergeCell ref="BR7:BR8"/>
    <mergeCell ref="BS7:BS8"/>
    <mergeCell ref="BT7:BT8"/>
    <mergeCell ref="BU7:BU8"/>
    <mergeCell ref="BV7:BV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J3:J4"/>
    <mergeCell ref="K3:K4"/>
    <mergeCell ref="J5:J6"/>
    <mergeCell ref="K5:K6"/>
    <mergeCell ref="J7:J8"/>
    <mergeCell ref="K7:K8"/>
    <mergeCell ref="L3:L4"/>
    <mergeCell ref="M3:M4"/>
    <mergeCell ref="L5:L6"/>
    <mergeCell ref="M5:M6"/>
    <mergeCell ref="L7:L8"/>
    <mergeCell ref="M7:M8"/>
    <mergeCell ref="N3:N4"/>
    <mergeCell ref="O3:O4"/>
    <mergeCell ref="N5:N6"/>
    <mergeCell ref="O5:O6"/>
    <mergeCell ref="N7:N8"/>
    <mergeCell ref="O7:O8"/>
    <mergeCell ref="R3:R4"/>
    <mergeCell ref="S3:S4"/>
    <mergeCell ref="R5:R6"/>
    <mergeCell ref="S5:S6"/>
    <mergeCell ref="T5:T6"/>
    <mergeCell ref="U5:U6"/>
    <mergeCell ref="V5:V6"/>
    <mergeCell ref="P3:P4"/>
    <mergeCell ref="Q3:Q4"/>
    <mergeCell ref="P5:P6"/>
    <mergeCell ref="Q5:Q6"/>
    <mergeCell ref="P7:P8"/>
    <mergeCell ref="Q7:Q8"/>
    <mergeCell ref="R7:R8"/>
    <mergeCell ref="A7:A8"/>
    <mergeCell ref="A9:A10"/>
    <mergeCell ref="F9:F10"/>
    <mergeCell ref="G9:G10"/>
    <mergeCell ref="H9:H10"/>
    <mergeCell ref="I9:I10"/>
    <mergeCell ref="J9:J10"/>
    <mergeCell ref="K9:K10"/>
    <mergeCell ref="L9:L10"/>
    <mergeCell ref="V9:V10"/>
    <mergeCell ref="P15:P16"/>
    <mergeCell ref="Q15:Q16"/>
    <mergeCell ref="I15:I16"/>
    <mergeCell ref="J15:J16"/>
    <mergeCell ref="K15:K16"/>
    <mergeCell ref="L15:L16"/>
    <mergeCell ref="M15:M16"/>
    <mergeCell ref="N15:N16"/>
    <mergeCell ref="O15:O16"/>
    <mergeCell ref="Y15:Y16"/>
    <mergeCell ref="Z15:Z16"/>
    <mergeCell ref="R15:R16"/>
    <mergeCell ref="S15:S16"/>
    <mergeCell ref="T15:T16"/>
    <mergeCell ref="U15:U16"/>
    <mergeCell ref="V15:V16"/>
    <mergeCell ref="W15:W16"/>
    <mergeCell ref="X15:X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K15:AK16"/>
    <mergeCell ref="AL15:AL16"/>
    <mergeCell ref="AM15:AM16"/>
    <mergeCell ref="AN15:AN16"/>
    <mergeCell ref="AO15:AO16"/>
    <mergeCell ref="AP15:AP16"/>
    <mergeCell ref="AQ15:AQ16"/>
    <mergeCell ref="AR15:AR16"/>
    <mergeCell ref="AS15:AS16"/>
    <mergeCell ref="AT15:AT16"/>
    <mergeCell ref="AU15:AU16"/>
    <mergeCell ref="AV15:AV16"/>
    <mergeCell ref="AW15:AW16"/>
    <mergeCell ref="AX15:AX16"/>
    <mergeCell ref="AY15:AY16"/>
    <mergeCell ref="AZ15:AZ16"/>
    <mergeCell ref="BA15:BA16"/>
    <mergeCell ref="BB15:BB16"/>
    <mergeCell ref="BC15:BC16"/>
    <mergeCell ref="BD15:BD16"/>
    <mergeCell ref="BE15:BE16"/>
    <mergeCell ref="BF15:BF16"/>
    <mergeCell ref="BG15:BG16"/>
    <mergeCell ref="BH15:BH16"/>
    <mergeCell ref="BI15:BI16"/>
    <mergeCell ref="BJ15:BJ16"/>
    <mergeCell ref="BR15:BR16"/>
    <mergeCell ref="BS15:BS16"/>
    <mergeCell ref="BT15:BT16"/>
    <mergeCell ref="BU15:BU16"/>
    <mergeCell ref="BV15:BV16"/>
    <mergeCell ref="BW15:BW16"/>
    <mergeCell ref="BX15:BX16"/>
    <mergeCell ref="BK15:BK16"/>
    <mergeCell ref="BL15:BL16"/>
    <mergeCell ref="BM15:BM16"/>
    <mergeCell ref="BN15:BN16"/>
    <mergeCell ref="BO15:BO16"/>
    <mergeCell ref="BP15:BP16"/>
    <mergeCell ref="BQ15:BQ16"/>
    <mergeCell ref="AD11:AD12"/>
    <mergeCell ref="AE11:AE12"/>
    <mergeCell ref="AF11:AF12"/>
    <mergeCell ref="AG11:AG12"/>
    <mergeCell ref="AH11:AH12"/>
    <mergeCell ref="AI11:AI12"/>
    <mergeCell ref="AJ11:AJ12"/>
    <mergeCell ref="AJ15:AJ16"/>
    <mergeCell ref="A11:A12"/>
    <mergeCell ref="A13:A14"/>
    <mergeCell ref="F3:F4"/>
    <mergeCell ref="G3:G4"/>
    <mergeCell ref="A5:A6"/>
    <mergeCell ref="F5:F6"/>
    <mergeCell ref="G5:G6"/>
    <mergeCell ref="G7:G8"/>
    <mergeCell ref="G11:G12"/>
    <mergeCell ref="I11:I12"/>
    <mergeCell ref="J11:J12"/>
    <mergeCell ref="K11:K12"/>
    <mergeCell ref="L11:L12"/>
    <mergeCell ref="M11:M12"/>
    <mergeCell ref="N11:N12"/>
    <mergeCell ref="O11:O12"/>
    <mergeCell ref="F7:F8"/>
    <mergeCell ref="F11:F12"/>
    <mergeCell ref="F13:F14"/>
    <mergeCell ref="G13:G14"/>
    <mergeCell ref="F15:F16"/>
    <mergeCell ref="G15:G16"/>
    <mergeCell ref="H15:H16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BR9:BR10"/>
    <mergeCell ref="BS9:BS10"/>
    <mergeCell ref="BT9:BT10"/>
    <mergeCell ref="BU9:BU10"/>
    <mergeCell ref="BV9:BV10"/>
    <mergeCell ref="BW9:BW10"/>
    <mergeCell ref="BX9:BX10"/>
    <mergeCell ref="BK9:BK10"/>
    <mergeCell ref="BL9:BL10"/>
    <mergeCell ref="BM9:BM10"/>
    <mergeCell ref="BN9:BN10"/>
    <mergeCell ref="BO9:BO10"/>
    <mergeCell ref="BP9:BP10"/>
    <mergeCell ref="BQ9:BQ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AK11:AK12"/>
    <mergeCell ref="AL11:AL12"/>
    <mergeCell ref="AM11:AM12"/>
    <mergeCell ref="AN11:AN12"/>
    <mergeCell ref="AO11:AO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Y11:AY12"/>
    <mergeCell ref="AZ11:AZ12"/>
    <mergeCell ref="BA11:BA12"/>
    <mergeCell ref="BB11:BB12"/>
    <mergeCell ref="BC11:BC12"/>
    <mergeCell ref="BD11:BD12"/>
    <mergeCell ref="BE11:BE12"/>
    <mergeCell ref="BF11:BF12"/>
    <mergeCell ref="BG11:BG12"/>
    <mergeCell ref="BH11:BH12"/>
    <mergeCell ref="BI11:BI12"/>
    <mergeCell ref="BJ11:BJ12"/>
    <mergeCell ref="BK11:BK12"/>
    <mergeCell ref="BL11:BL12"/>
    <mergeCell ref="BT11:BT12"/>
    <mergeCell ref="BU11:BU12"/>
    <mergeCell ref="BV11:BV12"/>
    <mergeCell ref="BW11:BW12"/>
    <mergeCell ref="BX11:BX12"/>
    <mergeCell ref="BM11:BM12"/>
    <mergeCell ref="BN11:BN12"/>
    <mergeCell ref="BO11:BO12"/>
    <mergeCell ref="BP11:BP12"/>
    <mergeCell ref="BQ11:BQ12"/>
    <mergeCell ref="BR11:BR12"/>
    <mergeCell ref="BS11:BS12"/>
    <mergeCell ref="H13:H14"/>
    <mergeCell ref="I13:I14"/>
    <mergeCell ref="H3:H4"/>
    <mergeCell ref="I3:I4"/>
    <mergeCell ref="H5:H6"/>
    <mergeCell ref="I5:I6"/>
    <mergeCell ref="H7:H8"/>
    <mergeCell ref="I7:I8"/>
    <mergeCell ref="H11:H12"/>
    <mergeCell ref="Q13:Q14"/>
    <mergeCell ref="R13:R14"/>
    <mergeCell ref="J13:J14"/>
    <mergeCell ref="K13:K14"/>
    <mergeCell ref="L13:L14"/>
    <mergeCell ref="M13:M14"/>
    <mergeCell ref="N13:N14"/>
    <mergeCell ref="O13:O14"/>
    <mergeCell ref="P13:P14"/>
    <mergeCell ref="Z13:Z14"/>
    <mergeCell ref="AA13:AA14"/>
    <mergeCell ref="S13:S14"/>
    <mergeCell ref="T13:T14"/>
    <mergeCell ref="U13:U14"/>
    <mergeCell ref="V13:V14"/>
    <mergeCell ref="W13:W14"/>
    <mergeCell ref="X13:X14"/>
    <mergeCell ref="Y13:Y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BC13:BC14"/>
    <mergeCell ref="BD13:BD14"/>
    <mergeCell ref="BE13:BE14"/>
    <mergeCell ref="BF13:BF14"/>
    <mergeCell ref="BG13:BG14"/>
    <mergeCell ref="BH13:BH14"/>
    <mergeCell ref="BI13:BI14"/>
    <mergeCell ref="BJ13:BJ14"/>
    <mergeCell ref="BR13:BR14"/>
    <mergeCell ref="BS13:BS14"/>
    <mergeCell ref="BT13:BT14"/>
    <mergeCell ref="BU13:BU14"/>
    <mergeCell ref="BV13:BV14"/>
    <mergeCell ref="BW13:BW14"/>
    <mergeCell ref="BX13:BX14"/>
    <mergeCell ref="BK13:BK14"/>
    <mergeCell ref="BL13:BL14"/>
    <mergeCell ref="BM13:BM14"/>
    <mergeCell ref="BN13:BN14"/>
    <mergeCell ref="BO13:BO14"/>
    <mergeCell ref="BP13:BP14"/>
    <mergeCell ref="BQ13:BQ14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5" width="20.5"/>
    <col customWidth="1" min="6" max="71" width="13.5"/>
  </cols>
  <sheetData>
    <row r="1" ht="21.0" customHeight="1">
      <c r="A1" s="109"/>
      <c r="B1" s="110"/>
      <c r="C1" s="110"/>
      <c r="D1" s="110"/>
      <c r="E1" s="110"/>
      <c r="F1" s="50"/>
      <c r="G1" s="50"/>
      <c r="H1" s="50"/>
      <c r="I1" s="50"/>
      <c r="J1" s="50"/>
      <c r="K1" s="50"/>
      <c r="L1" s="50"/>
      <c r="R1" s="52"/>
      <c r="X1" s="50"/>
      <c r="Y1" s="50"/>
      <c r="Z1" s="50"/>
      <c r="AA1" s="50"/>
      <c r="AB1" s="50"/>
      <c r="AC1" s="50"/>
      <c r="AD1" s="50"/>
      <c r="AE1" s="52"/>
      <c r="AK1" s="52"/>
      <c r="AP1" s="53"/>
      <c r="AQ1" s="52"/>
      <c r="AV1" s="53"/>
      <c r="AW1" s="50"/>
      <c r="BA1" s="53"/>
      <c r="BB1" s="50"/>
      <c r="BF1" s="53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</row>
    <row r="2" ht="47.25" customHeight="1">
      <c r="A2" s="109"/>
      <c r="B2" s="110"/>
      <c r="C2" s="110"/>
      <c r="D2" s="110"/>
      <c r="E2" s="110"/>
      <c r="F2" s="56" t="s">
        <v>72</v>
      </c>
      <c r="G2" s="56" t="s">
        <v>32</v>
      </c>
      <c r="H2" s="56"/>
      <c r="I2" s="56"/>
      <c r="J2" s="56"/>
      <c r="K2" s="56"/>
      <c r="L2" s="58"/>
      <c r="M2" s="58"/>
      <c r="N2" s="56"/>
      <c r="O2" s="56"/>
      <c r="P2" s="56"/>
      <c r="Q2" s="59"/>
      <c r="R2" s="55"/>
      <c r="S2" s="56"/>
      <c r="T2" s="56"/>
      <c r="U2" s="56"/>
      <c r="V2" s="56"/>
      <c r="W2" s="59"/>
      <c r="X2" s="56"/>
      <c r="Y2" s="56"/>
      <c r="Z2" s="56"/>
      <c r="AA2" s="56"/>
      <c r="AB2" s="56"/>
      <c r="AC2" s="56"/>
      <c r="AD2" s="56"/>
      <c r="AE2" s="55"/>
      <c r="AF2" s="56"/>
      <c r="AG2" s="56"/>
      <c r="AH2" s="56"/>
      <c r="AI2" s="56"/>
      <c r="AJ2" s="111"/>
      <c r="AK2" s="55"/>
      <c r="AL2" s="60"/>
      <c r="AM2" s="56"/>
      <c r="AN2" s="56"/>
      <c r="AO2" s="56"/>
      <c r="AP2" s="57"/>
      <c r="AQ2" s="58"/>
      <c r="AR2" s="56"/>
      <c r="AS2" s="56"/>
      <c r="AT2" s="56"/>
      <c r="AU2" s="56"/>
      <c r="AV2" s="57"/>
      <c r="AW2" s="58"/>
      <c r="AX2" s="56"/>
      <c r="AY2" s="59"/>
      <c r="AZ2" s="56"/>
      <c r="BA2" s="112"/>
      <c r="BB2" s="58"/>
      <c r="BC2" s="56"/>
      <c r="BD2" s="59"/>
      <c r="BE2" s="56"/>
      <c r="BF2" s="11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ht="27.75" customHeight="1">
      <c r="A3" s="114" t="s">
        <v>73</v>
      </c>
      <c r="B3" s="115" t="s">
        <v>74</v>
      </c>
      <c r="C3" s="116" t="s">
        <v>36</v>
      </c>
      <c r="D3" s="116" t="s">
        <v>75</v>
      </c>
      <c r="E3" s="117" t="s">
        <v>76</v>
      </c>
      <c r="F3" s="118">
        <v>4.0</v>
      </c>
      <c r="G3" s="118">
        <v>1.0</v>
      </c>
      <c r="H3" s="118"/>
      <c r="I3" s="118"/>
      <c r="J3" s="118"/>
      <c r="K3" s="118"/>
      <c r="L3" s="119"/>
      <c r="M3" s="120"/>
      <c r="N3" s="118"/>
      <c r="O3" s="118"/>
      <c r="P3" s="118"/>
      <c r="Q3" s="121"/>
      <c r="R3" s="122"/>
      <c r="S3" s="118"/>
      <c r="T3" s="118"/>
      <c r="U3" s="118"/>
      <c r="V3" s="118"/>
      <c r="W3" s="121"/>
      <c r="X3" s="118"/>
      <c r="Y3" s="118"/>
      <c r="Z3" s="118"/>
      <c r="AA3" s="118"/>
      <c r="AB3" s="118"/>
      <c r="AC3" s="118"/>
      <c r="AD3" s="118"/>
      <c r="AE3" s="122"/>
      <c r="AF3" s="118"/>
      <c r="AG3" s="118"/>
      <c r="AH3" s="118"/>
      <c r="AI3" s="118"/>
      <c r="AJ3" s="121"/>
      <c r="AK3" s="122"/>
      <c r="AL3" s="118"/>
      <c r="AM3" s="118"/>
      <c r="AN3" s="118"/>
      <c r="AO3" s="118"/>
      <c r="AP3" s="121"/>
      <c r="AQ3" s="122"/>
      <c r="AR3" s="118"/>
      <c r="AS3" s="118"/>
      <c r="AT3" s="118"/>
      <c r="AU3" s="118"/>
      <c r="AV3" s="121"/>
      <c r="AW3" s="122"/>
      <c r="AX3" s="118"/>
      <c r="AY3" s="118"/>
      <c r="AZ3" s="123"/>
      <c r="BA3" s="124"/>
      <c r="BB3" s="122"/>
      <c r="BC3" s="123"/>
      <c r="BD3" s="123"/>
      <c r="BE3" s="123"/>
      <c r="BF3" s="123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</row>
    <row r="4" ht="27.75" customHeight="1">
      <c r="A4" s="3"/>
      <c r="B4" s="126" t="s">
        <v>38</v>
      </c>
      <c r="C4" s="127" t="s">
        <v>39</v>
      </c>
      <c r="D4" s="127" t="s">
        <v>40</v>
      </c>
      <c r="E4" s="128" t="s">
        <v>41</v>
      </c>
      <c r="F4" s="3"/>
      <c r="G4" s="3"/>
      <c r="H4" s="3"/>
      <c r="I4" s="3"/>
      <c r="J4" s="3"/>
      <c r="K4" s="3"/>
      <c r="L4" s="129"/>
      <c r="M4" s="79"/>
      <c r="N4" s="3"/>
      <c r="O4" s="3"/>
      <c r="P4" s="3"/>
      <c r="Q4" s="81"/>
      <c r="R4" s="82"/>
      <c r="S4" s="3"/>
      <c r="T4" s="3"/>
      <c r="U4" s="3"/>
      <c r="V4" s="3"/>
      <c r="W4" s="81"/>
      <c r="X4" s="3"/>
      <c r="Y4" s="3"/>
      <c r="Z4" s="3"/>
      <c r="AA4" s="3"/>
      <c r="AB4" s="3"/>
      <c r="AC4" s="3"/>
      <c r="AD4" s="3"/>
      <c r="AE4" s="82"/>
      <c r="AF4" s="3"/>
      <c r="AG4" s="3"/>
      <c r="AH4" s="3"/>
      <c r="AI4" s="3"/>
      <c r="AJ4" s="81"/>
      <c r="AK4" s="82"/>
      <c r="AL4" s="3"/>
      <c r="AM4" s="3"/>
      <c r="AN4" s="3"/>
      <c r="AO4" s="3"/>
      <c r="AP4" s="81"/>
      <c r="AQ4" s="82"/>
      <c r="AR4" s="3"/>
      <c r="AS4" s="3"/>
      <c r="AT4" s="3"/>
      <c r="AU4" s="3"/>
      <c r="AV4" s="81"/>
      <c r="AW4" s="82"/>
      <c r="AX4" s="3"/>
      <c r="AY4" s="3"/>
      <c r="AZ4" s="3"/>
      <c r="BA4" s="81"/>
      <c r="BB4" s="82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ht="27.75" customHeight="1">
      <c r="A5" s="130" t="s">
        <v>77</v>
      </c>
      <c r="B5" s="131" t="s">
        <v>78</v>
      </c>
      <c r="C5" s="132" t="s">
        <v>36</v>
      </c>
      <c r="D5" s="132" t="s">
        <v>79</v>
      </c>
      <c r="E5" s="133" t="s">
        <v>80</v>
      </c>
      <c r="F5" s="134">
        <v>4.0</v>
      </c>
      <c r="G5" s="134">
        <v>1.0</v>
      </c>
      <c r="H5" s="134"/>
      <c r="I5" s="134"/>
      <c r="J5" s="134"/>
      <c r="K5" s="134"/>
      <c r="L5" s="135"/>
      <c r="M5" s="136"/>
      <c r="N5" s="134"/>
      <c r="O5" s="134"/>
      <c r="P5" s="134"/>
      <c r="Q5" s="137"/>
      <c r="R5" s="138"/>
      <c r="S5" s="134"/>
      <c r="T5" s="134"/>
      <c r="U5" s="134"/>
      <c r="V5" s="134"/>
      <c r="W5" s="137"/>
      <c r="X5" s="134"/>
      <c r="Y5" s="134"/>
      <c r="Z5" s="134"/>
      <c r="AA5" s="134"/>
      <c r="AB5" s="134"/>
      <c r="AC5" s="134"/>
      <c r="AD5" s="134"/>
      <c r="AE5" s="138"/>
      <c r="AF5" s="134"/>
      <c r="AG5" s="134"/>
      <c r="AH5" s="134"/>
      <c r="AI5" s="134"/>
      <c r="AJ5" s="137"/>
      <c r="AK5" s="138"/>
      <c r="AL5" s="134"/>
      <c r="AM5" s="134"/>
      <c r="AN5" s="134"/>
      <c r="AO5" s="134"/>
      <c r="AP5" s="137"/>
      <c r="AQ5" s="138"/>
      <c r="AR5" s="134"/>
      <c r="AS5" s="134"/>
      <c r="AT5" s="134"/>
      <c r="AU5" s="134"/>
      <c r="AV5" s="137"/>
      <c r="AW5" s="138"/>
      <c r="AX5" s="134"/>
      <c r="AY5" s="134"/>
      <c r="AZ5" s="139"/>
      <c r="BA5" s="140"/>
      <c r="BB5" s="138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</row>
    <row r="6" ht="27.75" customHeight="1">
      <c r="A6" s="3"/>
      <c r="B6" s="141" t="s">
        <v>38</v>
      </c>
      <c r="C6" s="142" t="s">
        <v>39</v>
      </c>
      <c r="D6" s="142" t="s">
        <v>40</v>
      </c>
      <c r="E6" s="143" t="s">
        <v>41</v>
      </c>
      <c r="F6" s="3"/>
      <c r="G6" s="3"/>
      <c r="H6" s="3"/>
      <c r="I6" s="3"/>
      <c r="J6" s="3"/>
      <c r="K6" s="3"/>
      <c r="L6" s="129"/>
      <c r="M6" s="79"/>
      <c r="N6" s="3"/>
      <c r="O6" s="3"/>
      <c r="P6" s="3"/>
      <c r="Q6" s="81"/>
      <c r="R6" s="82"/>
      <c r="S6" s="3"/>
      <c r="T6" s="3"/>
      <c r="U6" s="3"/>
      <c r="V6" s="3"/>
      <c r="W6" s="81"/>
      <c r="X6" s="3"/>
      <c r="Y6" s="3"/>
      <c r="Z6" s="3"/>
      <c r="AA6" s="3"/>
      <c r="AB6" s="3"/>
      <c r="AC6" s="3"/>
      <c r="AD6" s="3"/>
      <c r="AE6" s="82"/>
      <c r="AF6" s="3"/>
      <c r="AG6" s="3"/>
      <c r="AH6" s="3"/>
      <c r="AI6" s="3"/>
      <c r="AJ6" s="81"/>
      <c r="AK6" s="82"/>
      <c r="AL6" s="3"/>
      <c r="AM6" s="3"/>
      <c r="AN6" s="3"/>
      <c r="AO6" s="3"/>
      <c r="AP6" s="81"/>
      <c r="AQ6" s="82"/>
      <c r="AR6" s="3"/>
      <c r="AS6" s="3"/>
      <c r="AT6" s="3"/>
      <c r="AU6" s="3"/>
      <c r="AV6" s="81"/>
      <c r="AW6" s="82"/>
      <c r="AX6" s="3"/>
      <c r="AY6" s="3"/>
      <c r="AZ6" s="3"/>
      <c r="BA6" s="81"/>
      <c r="BB6" s="82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ht="27.75" customHeight="1">
      <c r="A7" s="114" t="s">
        <v>81</v>
      </c>
      <c r="B7" s="115" t="s">
        <v>34</v>
      </c>
      <c r="C7" s="116" t="s">
        <v>35</v>
      </c>
      <c r="D7" s="116" t="s">
        <v>82</v>
      </c>
      <c r="E7" s="117" t="s">
        <v>83</v>
      </c>
      <c r="F7" s="118">
        <v>4.0</v>
      </c>
      <c r="G7" s="118">
        <v>1.0</v>
      </c>
      <c r="H7" s="118"/>
      <c r="I7" s="118"/>
      <c r="J7" s="118"/>
      <c r="K7" s="118"/>
      <c r="L7" s="119"/>
      <c r="M7" s="144"/>
      <c r="N7" s="145"/>
      <c r="O7" s="145"/>
      <c r="P7" s="145"/>
      <c r="Q7" s="146"/>
      <c r="R7" s="147"/>
      <c r="S7" s="145"/>
      <c r="T7" s="145"/>
      <c r="U7" s="145"/>
      <c r="V7" s="145"/>
      <c r="W7" s="146"/>
      <c r="X7" s="118"/>
      <c r="Y7" s="118"/>
      <c r="Z7" s="118"/>
      <c r="AA7" s="118"/>
      <c r="AB7" s="118"/>
      <c r="AC7" s="118"/>
      <c r="AD7" s="118"/>
      <c r="AE7" s="147"/>
      <c r="AF7" s="145"/>
      <c r="AG7" s="145"/>
      <c r="AH7" s="145"/>
      <c r="AI7" s="145"/>
      <c r="AJ7" s="146"/>
      <c r="AK7" s="147"/>
      <c r="AL7" s="145"/>
      <c r="AM7" s="145"/>
      <c r="AN7" s="145"/>
      <c r="AO7" s="145"/>
      <c r="AP7" s="146"/>
      <c r="AQ7" s="147"/>
      <c r="AR7" s="145"/>
      <c r="AS7" s="145"/>
      <c r="AT7" s="145"/>
      <c r="AU7" s="145"/>
      <c r="AV7" s="146"/>
      <c r="AW7" s="147"/>
      <c r="AX7" s="145"/>
      <c r="AY7" s="145"/>
      <c r="AZ7" s="125"/>
      <c r="BA7" s="148"/>
      <c r="BB7" s="147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</row>
    <row r="8" ht="27.75" customHeight="1">
      <c r="A8" s="3"/>
      <c r="B8" s="126" t="s">
        <v>38</v>
      </c>
      <c r="C8" s="127" t="s">
        <v>39</v>
      </c>
      <c r="D8" s="127" t="s">
        <v>40</v>
      </c>
      <c r="E8" s="128" t="s">
        <v>41</v>
      </c>
      <c r="F8" s="3"/>
      <c r="G8" s="3"/>
      <c r="H8" s="3"/>
      <c r="I8" s="3"/>
      <c r="J8" s="3"/>
      <c r="K8" s="3"/>
      <c r="L8" s="129"/>
      <c r="M8" s="79"/>
      <c r="N8" s="3"/>
      <c r="O8" s="3"/>
      <c r="P8" s="3"/>
      <c r="Q8" s="81"/>
      <c r="R8" s="82"/>
      <c r="S8" s="3"/>
      <c r="T8" s="3"/>
      <c r="U8" s="3"/>
      <c r="V8" s="3"/>
      <c r="W8" s="81"/>
      <c r="X8" s="3"/>
      <c r="Y8" s="3"/>
      <c r="Z8" s="3"/>
      <c r="AA8" s="3"/>
      <c r="AB8" s="3"/>
      <c r="AC8" s="3"/>
      <c r="AD8" s="3"/>
      <c r="AE8" s="82"/>
      <c r="AF8" s="3"/>
      <c r="AG8" s="3"/>
      <c r="AH8" s="3"/>
      <c r="AI8" s="3"/>
      <c r="AJ8" s="81"/>
      <c r="AK8" s="82"/>
      <c r="AL8" s="3"/>
      <c r="AM8" s="3"/>
      <c r="AN8" s="3"/>
      <c r="AO8" s="3"/>
      <c r="AP8" s="81"/>
      <c r="AQ8" s="82"/>
      <c r="AR8" s="3"/>
      <c r="AS8" s="3"/>
      <c r="AT8" s="3"/>
      <c r="AU8" s="3"/>
      <c r="AV8" s="81"/>
      <c r="AW8" s="82"/>
      <c r="AX8" s="3"/>
      <c r="AY8" s="3"/>
      <c r="AZ8" s="3"/>
      <c r="BA8" s="81"/>
      <c r="BB8" s="82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</row>
    <row r="9" ht="27.75" customHeight="1">
      <c r="A9" s="130" t="s">
        <v>84</v>
      </c>
      <c r="B9" s="149" t="s">
        <v>85</v>
      </c>
      <c r="C9" s="149" t="s">
        <v>86</v>
      </c>
      <c r="D9" s="149" t="s">
        <v>87</v>
      </c>
      <c r="E9" s="149" t="s">
        <v>88</v>
      </c>
      <c r="F9" s="134">
        <v>4.0</v>
      </c>
      <c r="G9" s="134">
        <v>1.0</v>
      </c>
      <c r="H9" s="134"/>
      <c r="I9" s="134"/>
      <c r="J9" s="134"/>
      <c r="K9" s="134"/>
      <c r="L9" s="138"/>
      <c r="M9" s="136"/>
      <c r="N9" s="134"/>
      <c r="O9" s="134"/>
      <c r="P9" s="134"/>
      <c r="Q9" s="137"/>
      <c r="R9" s="138"/>
      <c r="S9" s="134"/>
      <c r="T9" s="134"/>
      <c r="U9" s="134"/>
      <c r="V9" s="134"/>
      <c r="W9" s="137"/>
      <c r="X9" s="134"/>
      <c r="Y9" s="134"/>
      <c r="Z9" s="134"/>
      <c r="AA9" s="134"/>
      <c r="AB9" s="134"/>
      <c r="AC9" s="134"/>
      <c r="AD9" s="134"/>
      <c r="AE9" s="138"/>
      <c r="AF9" s="134"/>
      <c r="AG9" s="134"/>
      <c r="AH9" s="134"/>
      <c r="AI9" s="134"/>
      <c r="AJ9" s="137"/>
      <c r="AK9" s="138"/>
      <c r="AL9" s="134"/>
      <c r="AM9" s="134"/>
      <c r="AN9" s="134"/>
      <c r="AO9" s="134"/>
      <c r="AP9" s="137"/>
      <c r="AQ9" s="138"/>
      <c r="AR9" s="134"/>
      <c r="AS9" s="134"/>
      <c r="AT9" s="134"/>
      <c r="AU9" s="134"/>
      <c r="AV9" s="137"/>
      <c r="AW9" s="138"/>
      <c r="AX9" s="134"/>
      <c r="AY9" s="134"/>
      <c r="AZ9" s="139"/>
      <c r="BA9" s="140"/>
      <c r="BB9" s="138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</row>
    <row r="10" ht="27.75" customHeight="1">
      <c r="A10" s="3"/>
      <c r="B10" s="141" t="s">
        <v>38</v>
      </c>
      <c r="C10" s="142" t="s">
        <v>39</v>
      </c>
      <c r="D10" s="142" t="s">
        <v>40</v>
      </c>
      <c r="E10" s="143" t="s">
        <v>41</v>
      </c>
      <c r="F10" s="3"/>
      <c r="G10" s="3"/>
      <c r="H10" s="3"/>
      <c r="I10" s="3"/>
      <c r="J10" s="3"/>
      <c r="K10" s="3"/>
      <c r="L10" s="82"/>
      <c r="M10" s="79"/>
      <c r="N10" s="3"/>
      <c r="O10" s="3"/>
      <c r="P10" s="3"/>
      <c r="Q10" s="81"/>
      <c r="R10" s="82"/>
      <c r="S10" s="3"/>
      <c r="T10" s="3"/>
      <c r="U10" s="3"/>
      <c r="V10" s="3"/>
      <c r="W10" s="81"/>
      <c r="X10" s="3"/>
      <c r="Y10" s="3"/>
      <c r="Z10" s="3"/>
      <c r="AA10" s="3"/>
      <c r="AB10" s="3"/>
      <c r="AC10" s="3"/>
      <c r="AD10" s="3"/>
      <c r="AE10" s="82"/>
      <c r="AF10" s="3"/>
      <c r="AG10" s="3"/>
      <c r="AH10" s="3"/>
      <c r="AI10" s="3"/>
      <c r="AJ10" s="81"/>
      <c r="AK10" s="82"/>
      <c r="AL10" s="3"/>
      <c r="AM10" s="3"/>
      <c r="AN10" s="3"/>
      <c r="AO10" s="3"/>
      <c r="AP10" s="81"/>
      <c r="AQ10" s="82"/>
      <c r="AR10" s="3"/>
      <c r="AS10" s="3"/>
      <c r="AT10" s="3"/>
      <c r="AU10" s="3"/>
      <c r="AV10" s="81"/>
      <c r="AW10" s="82"/>
      <c r="AX10" s="3"/>
      <c r="AY10" s="3"/>
      <c r="AZ10" s="3"/>
      <c r="BA10" s="81"/>
      <c r="BB10" s="82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ht="27.75" customHeight="1">
      <c r="A11" s="114" t="s">
        <v>89</v>
      </c>
      <c r="B11" s="116" t="s">
        <v>90</v>
      </c>
      <c r="C11" s="116" t="s">
        <v>91</v>
      </c>
      <c r="D11" s="117" t="s">
        <v>92</v>
      </c>
      <c r="E11" s="117" t="s">
        <v>93</v>
      </c>
      <c r="F11" s="118">
        <v>4.0</v>
      </c>
      <c r="G11" s="118">
        <v>1.0</v>
      </c>
      <c r="H11" s="118"/>
      <c r="I11" s="118"/>
      <c r="J11" s="118"/>
      <c r="K11" s="118"/>
      <c r="L11" s="119"/>
      <c r="M11" s="144"/>
      <c r="N11" s="145"/>
      <c r="O11" s="145"/>
      <c r="P11" s="145"/>
      <c r="Q11" s="146"/>
      <c r="R11" s="147"/>
      <c r="S11" s="145"/>
      <c r="T11" s="145"/>
      <c r="U11" s="145"/>
      <c r="V11" s="145"/>
      <c r="W11" s="146"/>
      <c r="X11" s="118"/>
      <c r="Y11" s="118"/>
      <c r="Z11" s="118"/>
      <c r="AA11" s="118"/>
      <c r="AB11" s="118"/>
      <c r="AC11" s="118"/>
      <c r="AD11" s="118"/>
      <c r="AE11" s="147"/>
      <c r="AF11" s="145"/>
      <c r="AG11" s="145"/>
      <c r="AH11" s="145"/>
      <c r="AI11" s="145"/>
      <c r="AJ11" s="146"/>
      <c r="AK11" s="147"/>
      <c r="AL11" s="145"/>
      <c r="AM11" s="145"/>
      <c r="AN11" s="145"/>
      <c r="AO11" s="145"/>
      <c r="AP11" s="146"/>
      <c r="AQ11" s="147"/>
      <c r="AR11" s="145"/>
      <c r="AS11" s="145"/>
      <c r="AT11" s="145"/>
      <c r="AU11" s="145"/>
      <c r="AV11" s="146"/>
      <c r="AW11" s="147"/>
      <c r="AX11" s="145"/>
      <c r="AY11" s="145"/>
      <c r="AZ11" s="125"/>
      <c r="BA11" s="148"/>
      <c r="BB11" s="147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</row>
    <row r="12" ht="27.75" customHeight="1">
      <c r="A12" s="3"/>
      <c r="B12" s="126" t="s">
        <v>38</v>
      </c>
      <c r="C12" s="127" t="s">
        <v>39</v>
      </c>
      <c r="D12" s="127" t="s">
        <v>40</v>
      </c>
      <c r="E12" s="128" t="s">
        <v>41</v>
      </c>
      <c r="F12" s="3"/>
      <c r="G12" s="3"/>
      <c r="H12" s="3"/>
      <c r="I12" s="3"/>
      <c r="J12" s="3"/>
      <c r="K12" s="3"/>
      <c r="L12" s="129"/>
      <c r="M12" s="79"/>
      <c r="N12" s="3"/>
      <c r="O12" s="3"/>
      <c r="P12" s="3"/>
      <c r="Q12" s="81"/>
      <c r="R12" s="82"/>
      <c r="S12" s="3"/>
      <c r="T12" s="3"/>
      <c r="U12" s="3"/>
      <c r="V12" s="3"/>
      <c r="W12" s="81"/>
      <c r="X12" s="3"/>
      <c r="Y12" s="3"/>
      <c r="Z12" s="3"/>
      <c r="AA12" s="3"/>
      <c r="AB12" s="3"/>
      <c r="AC12" s="3"/>
      <c r="AD12" s="3"/>
      <c r="AE12" s="82"/>
      <c r="AF12" s="3"/>
      <c r="AG12" s="3"/>
      <c r="AH12" s="3"/>
      <c r="AI12" s="3"/>
      <c r="AJ12" s="81"/>
      <c r="AK12" s="82"/>
      <c r="AL12" s="3"/>
      <c r="AM12" s="3"/>
      <c r="AN12" s="3"/>
      <c r="AO12" s="3"/>
      <c r="AP12" s="81"/>
      <c r="AQ12" s="82"/>
      <c r="AR12" s="3"/>
      <c r="AS12" s="3"/>
      <c r="AT12" s="3"/>
      <c r="AU12" s="3"/>
      <c r="AV12" s="81"/>
      <c r="AW12" s="82"/>
      <c r="AX12" s="3"/>
      <c r="AY12" s="3"/>
      <c r="AZ12" s="3"/>
      <c r="BA12" s="81"/>
      <c r="BB12" s="82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ht="27.75" customHeight="1">
      <c r="A13" s="130" t="s">
        <v>94</v>
      </c>
      <c r="B13" s="150"/>
      <c r="C13" s="149"/>
      <c r="D13" s="149"/>
      <c r="E13" s="151"/>
      <c r="F13" s="134">
        <v>4.0</v>
      </c>
      <c r="G13" s="134">
        <v>1.0</v>
      </c>
      <c r="H13" s="134"/>
      <c r="I13" s="134"/>
      <c r="J13" s="134"/>
      <c r="K13" s="134"/>
      <c r="L13" s="135"/>
      <c r="M13" s="136"/>
      <c r="N13" s="134"/>
      <c r="O13" s="134"/>
      <c r="P13" s="134"/>
      <c r="Q13" s="137"/>
      <c r="R13" s="138"/>
      <c r="S13" s="134"/>
      <c r="T13" s="134"/>
      <c r="U13" s="134"/>
      <c r="V13" s="134"/>
      <c r="W13" s="137"/>
      <c r="X13" s="134"/>
      <c r="Y13" s="134"/>
      <c r="Z13" s="134"/>
      <c r="AA13" s="134"/>
      <c r="AB13" s="134"/>
      <c r="AC13" s="134"/>
      <c r="AD13" s="134"/>
      <c r="AE13" s="138"/>
      <c r="AF13" s="134"/>
      <c r="AG13" s="134"/>
      <c r="AH13" s="134"/>
      <c r="AI13" s="134"/>
      <c r="AJ13" s="137"/>
      <c r="AK13" s="138"/>
      <c r="AL13" s="134"/>
      <c r="AM13" s="134"/>
      <c r="AN13" s="134"/>
      <c r="AO13" s="134"/>
      <c r="AP13" s="137"/>
      <c r="AQ13" s="138"/>
      <c r="AR13" s="134"/>
      <c r="AS13" s="134"/>
      <c r="AT13" s="134"/>
      <c r="AU13" s="134"/>
      <c r="AV13" s="137"/>
      <c r="AW13" s="138"/>
      <c r="AX13" s="134"/>
      <c r="AY13" s="134"/>
      <c r="AZ13" s="139"/>
      <c r="BA13" s="140"/>
      <c r="BB13" s="138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</row>
    <row r="14" ht="27.75" customHeight="1">
      <c r="A14" s="3"/>
      <c r="B14" s="141" t="s">
        <v>38</v>
      </c>
      <c r="C14" s="142" t="s">
        <v>39</v>
      </c>
      <c r="D14" s="142" t="s">
        <v>40</v>
      </c>
      <c r="E14" s="143" t="s">
        <v>41</v>
      </c>
      <c r="F14" s="3"/>
      <c r="G14" s="3"/>
      <c r="H14" s="3"/>
      <c r="I14" s="3"/>
      <c r="J14" s="3"/>
      <c r="K14" s="3"/>
      <c r="L14" s="129"/>
      <c r="M14" s="79"/>
      <c r="N14" s="3"/>
      <c r="O14" s="3"/>
      <c r="P14" s="3"/>
      <c r="Q14" s="81"/>
      <c r="R14" s="82"/>
      <c r="S14" s="3"/>
      <c r="T14" s="3"/>
      <c r="U14" s="3"/>
      <c r="V14" s="3"/>
      <c r="W14" s="81"/>
      <c r="X14" s="3"/>
      <c r="Y14" s="3"/>
      <c r="Z14" s="3"/>
      <c r="AA14" s="3"/>
      <c r="AB14" s="3"/>
      <c r="AC14" s="3"/>
      <c r="AD14" s="3"/>
      <c r="AE14" s="82"/>
      <c r="AF14" s="3"/>
      <c r="AG14" s="3"/>
      <c r="AH14" s="3"/>
      <c r="AI14" s="3"/>
      <c r="AJ14" s="81"/>
      <c r="AK14" s="82"/>
      <c r="AL14" s="3"/>
      <c r="AM14" s="3"/>
      <c r="AN14" s="3"/>
      <c r="AO14" s="3"/>
      <c r="AP14" s="81"/>
      <c r="AQ14" s="82"/>
      <c r="AR14" s="3"/>
      <c r="AS14" s="3"/>
      <c r="AT14" s="3"/>
      <c r="AU14" s="3"/>
      <c r="AV14" s="81"/>
      <c r="AW14" s="82"/>
      <c r="AX14" s="3"/>
      <c r="AY14" s="3"/>
      <c r="AZ14" s="3"/>
      <c r="BA14" s="81"/>
      <c r="BB14" s="82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ht="36.0" customHeight="1">
      <c r="A15" s="152" t="s">
        <v>4</v>
      </c>
      <c r="B15" s="153"/>
      <c r="C15" s="153"/>
      <c r="D15" s="153"/>
      <c r="E15" s="154">
        <f>4*6</f>
        <v>24</v>
      </c>
      <c r="F15" s="155">
        <f t="shared" ref="F15:BS15" si="1">SUM(F3:F14)*10/24</f>
        <v>10</v>
      </c>
      <c r="G15" s="155">
        <f t="shared" si="1"/>
        <v>2.5</v>
      </c>
      <c r="H15" s="155">
        <f t="shared" si="1"/>
        <v>0</v>
      </c>
      <c r="I15" s="155">
        <f t="shared" si="1"/>
        <v>0</v>
      </c>
      <c r="J15" s="155">
        <f t="shared" si="1"/>
        <v>0</v>
      </c>
      <c r="K15" s="155">
        <f t="shared" si="1"/>
        <v>0</v>
      </c>
      <c r="L15" s="156">
        <f t="shared" si="1"/>
        <v>0</v>
      </c>
      <c r="M15" s="157">
        <f t="shared" si="1"/>
        <v>0</v>
      </c>
      <c r="N15" s="157">
        <f t="shared" si="1"/>
        <v>0</v>
      </c>
      <c r="O15" s="157">
        <f t="shared" si="1"/>
        <v>0</v>
      </c>
      <c r="P15" s="157">
        <f t="shared" si="1"/>
        <v>0</v>
      </c>
      <c r="Q15" s="158">
        <f t="shared" si="1"/>
        <v>0</v>
      </c>
      <c r="R15" s="156">
        <f t="shared" si="1"/>
        <v>0</v>
      </c>
      <c r="S15" s="157">
        <f t="shared" si="1"/>
        <v>0</v>
      </c>
      <c r="T15" s="157">
        <f t="shared" si="1"/>
        <v>0</v>
      </c>
      <c r="U15" s="157">
        <f t="shared" si="1"/>
        <v>0</v>
      </c>
      <c r="V15" s="157">
        <f t="shared" si="1"/>
        <v>0</v>
      </c>
      <c r="W15" s="158">
        <f t="shared" si="1"/>
        <v>0</v>
      </c>
      <c r="X15" s="155">
        <f t="shared" si="1"/>
        <v>0</v>
      </c>
      <c r="Y15" s="155">
        <f t="shared" si="1"/>
        <v>0</v>
      </c>
      <c r="Z15" s="155">
        <f t="shared" si="1"/>
        <v>0</v>
      </c>
      <c r="AA15" s="155">
        <f t="shared" si="1"/>
        <v>0</v>
      </c>
      <c r="AB15" s="155">
        <f t="shared" si="1"/>
        <v>0</v>
      </c>
      <c r="AC15" s="155">
        <f t="shared" si="1"/>
        <v>0</v>
      </c>
      <c r="AD15" s="155">
        <f t="shared" si="1"/>
        <v>0</v>
      </c>
      <c r="AE15" s="156">
        <f t="shared" si="1"/>
        <v>0</v>
      </c>
      <c r="AF15" s="157">
        <f t="shared" si="1"/>
        <v>0</v>
      </c>
      <c r="AG15" s="157">
        <f t="shared" si="1"/>
        <v>0</v>
      </c>
      <c r="AH15" s="157">
        <f t="shared" si="1"/>
        <v>0</v>
      </c>
      <c r="AI15" s="157">
        <f t="shared" si="1"/>
        <v>0</v>
      </c>
      <c r="AJ15" s="158">
        <f t="shared" si="1"/>
        <v>0</v>
      </c>
      <c r="AK15" s="156">
        <f t="shared" si="1"/>
        <v>0</v>
      </c>
      <c r="AL15" s="157">
        <f t="shared" si="1"/>
        <v>0</v>
      </c>
      <c r="AM15" s="157">
        <f t="shared" si="1"/>
        <v>0</v>
      </c>
      <c r="AN15" s="157">
        <f t="shared" si="1"/>
        <v>0</v>
      </c>
      <c r="AO15" s="157">
        <f t="shared" si="1"/>
        <v>0</v>
      </c>
      <c r="AP15" s="158">
        <f t="shared" si="1"/>
        <v>0</v>
      </c>
      <c r="AQ15" s="156">
        <f t="shared" si="1"/>
        <v>0</v>
      </c>
      <c r="AR15" s="157">
        <f t="shared" si="1"/>
        <v>0</v>
      </c>
      <c r="AS15" s="157">
        <f t="shared" si="1"/>
        <v>0</v>
      </c>
      <c r="AT15" s="157">
        <f t="shared" si="1"/>
        <v>0</v>
      </c>
      <c r="AU15" s="157">
        <f t="shared" si="1"/>
        <v>0</v>
      </c>
      <c r="AV15" s="158">
        <f t="shared" si="1"/>
        <v>0</v>
      </c>
      <c r="AW15" s="156">
        <f t="shared" si="1"/>
        <v>0</v>
      </c>
      <c r="AX15" s="157">
        <f t="shared" si="1"/>
        <v>0</v>
      </c>
      <c r="AY15" s="157">
        <f t="shared" si="1"/>
        <v>0</v>
      </c>
      <c r="AZ15" s="157">
        <f t="shared" si="1"/>
        <v>0</v>
      </c>
      <c r="BA15" s="158">
        <f t="shared" si="1"/>
        <v>0</v>
      </c>
      <c r="BB15" s="156">
        <f t="shared" si="1"/>
        <v>0</v>
      </c>
      <c r="BC15" s="157">
        <f t="shared" si="1"/>
        <v>0</v>
      </c>
      <c r="BD15" s="157">
        <f t="shared" si="1"/>
        <v>0</v>
      </c>
      <c r="BE15" s="157">
        <f t="shared" si="1"/>
        <v>0</v>
      </c>
      <c r="BF15" s="157">
        <f t="shared" si="1"/>
        <v>0</v>
      </c>
      <c r="BG15" s="157">
        <f t="shared" si="1"/>
        <v>0</v>
      </c>
      <c r="BH15" s="157">
        <f t="shared" si="1"/>
        <v>0</v>
      </c>
      <c r="BI15" s="157">
        <f t="shared" si="1"/>
        <v>0</v>
      </c>
      <c r="BJ15" s="157">
        <f t="shared" si="1"/>
        <v>0</v>
      </c>
      <c r="BK15" s="157">
        <f t="shared" si="1"/>
        <v>0</v>
      </c>
      <c r="BL15" s="157">
        <f t="shared" si="1"/>
        <v>0</v>
      </c>
      <c r="BM15" s="157">
        <f t="shared" si="1"/>
        <v>0</v>
      </c>
      <c r="BN15" s="157">
        <f t="shared" si="1"/>
        <v>0</v>
      </c>
      <c r="BO15" s="157">
        <f t="shared" si="1"/>
        <v>0</v>
      </c>
      <c r="BP15" s="157">
        <f t="shared" si="1"/>
        <v>0</v>
      </c>
      <c r="BQ15" s="157">
        <f t="shared" si="1"/>
        <v>0</v>
      </c>
      <c r="BR15" s="157">
        <f t="shared" si="1"/>
        <v>0</v>
      </c>
      <c r="BS15" s="157">
        <f t="shared" si="1"/>
        <v>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22">
    <mergeCell ref="AN3:AN4"/>
    <mergeCell ref="AO3:AO4"/>
    <mergeCell ref="AG3:AG4"/>
    <mergeCell ref="AH3:AH4"/>
    <mergeCell ref="AI3:AI4"/>
    <mergeCell ref="AJ3:AJ4"/>
    <mergeCell ref="AK3:AK4"/>
    <mergeCell ref="AL3:AL4"/>
    <mergeCell ref="AM3:AM4"/>
    <mergeCell ref="AW3:AW4"/>
    <mergeCell ref="AX3:AX4"/>
    <mergeCell ref="AP3:AP4"/>
    <mergeCell ref="AQ3:AQ4"/>
    <mergeCell ref="AR3:AR4"/>
    <mergeCell ref="AS3:AS4"/>
    <mergeCell ref="AT3:AT4"/>
    <mergeCell ref="AU3:AU4"/>
    <mergeCell ref="AV3:AV4"/>
    <mergeCell ref="BF3:BF4"/>
    <mergeCell ref="BG3:BG4"/>
    <mergeCell ref="AY3:AY4"/>
    <mergeCell ref="AZ3:AZ4"/>
    <mergeCell ref="BA3:BA4"/>
    <mergeCell ref="BB3:BB4"/>
    <mergeCell ref="BC3:BC4"/>
    <mergeCell ref="BD3:BD4"/>
    <mergeCell ref="BE3:BE4"/>
    <mergeCell ref="BO3:BO4"/>
    <mergeCell ref="BP3:BP4"/>
    <mergeCell ref="BH3:BH4"/>
    <mergeCell ref="BI3:BI4"/>
    <mergeCell ref="BJ3:BJ4"/>
    <mergeCell ref="BK3:BK4"/>
    <mergeCell ref="BL3:BL4"/>
    <mergeCell ref="BM3:BM4"/>
    <mergeCell ref="BN3:BN4"/>
    <mergeCell ref="L1:Q1"/>
    <mergeCell ref="R1:W1"/>
    <mergeCell ref="AE1:AJ1"/>
    <mergeCell ref="AK1:AP1"/>
    <mergeCell ref="AQ1:AV1"/>
    <mergeCell ref="AW1:BA1"/>
    <mergeCell ref="BB1:BF1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BG1:BG2"/>
    <mergeCell ref="BH1:BH2"/>
    <mergeCell ref="BI1:BI2"/>
    <mergeCell ref="BJ1:BJ2"/>
    <mergeCell ref="BK1:BK2"/>
    <mergeCell ref="BL1:BL2"/>
    <mergeCell ref="BM1:BM2"/>
    <mergeCell ref="BR3:BR4"/>
    <mergeCell ref="BS3:BS4"/>
    <mergeCell ref="BN1:BN2"/>
    <mergeCell ref="BO1:BO2"/>
    <mergeCell ref="BP1:BP2"/>
    <mergeCell ref="BQ1:BQ2"/>
    <mergeCell ref="BR1:BR2"/>
    <mergeCell ref="BS1:BS2"/>
    <mergeCell ref="BQ3:BQ4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BF5:BF6"/>
    <mergeCell ref="BG5:BG6"/>
    <mergeCell ref="BO5:BO6"/>
    <mergeCell ref="BP5:BP6"/>
    <mergeCell ref="BQ5:BQ6"/>
    <mergeCell ref="BR5:BR6"/>
    <mergeCell ref="BS5:BS6"/>
    <mergeCell ref="BH5:BH6"/>
    <mergeCell ref="BI5:BI6"/>
    <mergeCell ref="BJ5:BJ6"/>
    <mergeCell ref="BK5:BK6"/>
    <mergeCell ref="BL5:BL6"/>
    <mergeCell ref="BM5:BM6"/>
    <mergeCell ref="BN5:BN6"/>
    <mergeCell ref="F3:F4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3:A4"/>
    <mergeCell ref="G3:G4"/>
    <mergeCell ref="H3:H4"/>
    <mergeCell ref="I3:I4"/>
    <mergeCell ref="J3:J4"/>
    <mergeCell ref="K3:K4"/>
    <mergeCell ref="A5:A6"/>
    <mergeCell ref="AN7:AN8"/>
    <mergeCell ref="AO7:AO8"/>
    <mergeCell ref="AP7:AP8"/>
    <mergeCell ref="AQ7:AQ8"/>
    <mergeCell ref="AR7:AR8"/>
    <mergeCell ref="AS7:AS8"/>
    <mergeCell ref="AT7:AT8"/>
    <mergeCell ref="F7:F8"/>
    <mergeCell ref="F9:F10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U7:AU8"/>
    <mergeCell ref="AV7:AV8"/>
    <mergeCell ref="AW7:AW8"/>
    <mergeCell ref="AX7:AX8"/>
    <mergeCell ref="AY7:AY8"/>
    <mergeCell ref="AZ7:AZ8"/>
    <mergeCell ref="BA7:BA8"/>
    <mergeCell ref="AY11:AY12"/>
    <mergeCell ref="AZ11:AZ12"/>
    <mergeCell ref="BA11:BA12"/>
    <mergeCell ref="AR11:AR12"/>
    <mergeCell ref="AS11:AS12"/>
    <mergeCell ref="AT11:AT12"/>
    <mergeCell ref="AU11:AU12"/>
    <mergeCell ref="AV11:AV12"/>
    <mergeCell ref="AW11:AW12"/>
    <mergeCell ref="AX11:AX12"/>
    <mergeCell ref="O13:O14"/>
    <mergeCell ref="P13:P14"/>
    <mergeCell ref="H13:H14"/>
    <mergeCell ref="I13:I14"/>
    <mergeCell ref="J13:J14"/>
    <mergeCell ref="K13:K14"/>
    <mergeCell ref="L13:L14"/>
    <mergeCell ref="M13:M14"/>
    <mergeCell ref="N13:N14"/>
    <mergeCell ref="X13:X14"/>
    <mergeCell ref="Y13:Y14"/>
    <mergeCell ref="Q13:Q14"/>
    <mergeCell ref="R13:R14"/>
    <mergeCell ref="S13:S14"/>
    <mergeCell ref="T13:T14"/>
    <mergeCell ref="U13:U14"/>
    <mergeCell ref="V13:V14"/>
    <mergeCell ref="W13:W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BC13:BC14"/>
    <mergeCell ref="BD13:BD14"/>
    <mergeCell ref="BE13:BE14"/>
    <mergeCell ref="BF13:BF14"/>
    <mergeCell ref="BG13:BG14"/>
    <mergeCell ref="BH13:BH14"/>
    <mergeCell ref="BP13:BP14"/>
    <mergeCell ref="BQ13:BQ14"/>
    <mergeCell ref="BR13:BR14"/>
    <mergeCell ref="BS13:BS14"/>
    <mergeCell ref="BI13:BI14"/>
    <mergeCell ref="BJ13:BJ14"/>
    <mergeCell ref="BK13:BK14"/>
    <mergeCell ref="BL13:BL14"/>
    <mergeCell ref="BM13:BM14"/>
    <mergeCell ref="BN13:BN14"/>
    <mergeCell ref="BO13:BO14"/>
    <mergeCell ref="A9:A10"/>
    <mergeCell ref="A11:A12"/>
    <mergeCell ref="A13:A14"/>
    <mergeCell ref="A7:A8"/>
    <mergeCell ref="G7:G8"/>
    <mergeCell ref="H7:H8"/>
    <mergeCell ref="I7:I8"/>
    <mergeCell ref="J7:J8"/>
    <mergeCell ref="K7:K8"/>
    <mergeCell ref="K9:K10"/>
    <mergeCell ref="I9:I10"/>
    <mergeCell ref="J9:J10"/>
    <mergeCell ref="I11:I12"/>
    <mergeCell ref="J11:J12"/>
    <mergeCell ref="K11:K12"/>
    <mergeCell ref="L11:L12"/>
    <mergeCell ref="M11:M12"/>
    <mergeCell ref="AB11:AB12"/>
    <mergeCell ref="AC11:AC12"/>
    <mergeCell ref="AD11:AD12"/>
    <mergeCell ref="AE11:AE12"/>
    <mergeCell ref="AF11:AF12"/>
    <mergeCell ref="AG11:AG12"/>
    <mergeCell ref="AH11:AH12"/>
    <mergeCell ref="G9:G10"/>
    <mergeCell ref="H9:H10"/>
    <mergeCell ref="F11:F12"/>
    <mergeCell ref="G11:G12"/>
    <mergeCell ref="H11:H12"/>
    <mergeCell ref="F13:F14"/>
    <mergeCell ref="G13:G14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BB7:BB8"/>
    <mergeCell ref="BC7:BC8"/>
    <mergeCell ref="BD7:BD8"/>
    <mergeCell ref="BE7:BE8"/>
    <mergeCell ref="BF7:BF8"/>
    <mergeCell ref="BG7:BG8"/>
    <mergeCell ref="BH7:BH8"/>
    <mergeCell ref="BP7:BP8"/>
    <mergeCell ref="BQ7:BQ8"/>
    <mergeCell ref="BR7:BR8"/>
    <mergeCell ref="BS7:BS8"/>
    <mergeCell ref="BI7:BI8"/>
    <mergeCell ref="BJ7:BJ8"/>
    <mergeCell ref="BK7:BK8"/>
    <mergeCell ref="BL7:BL8"/>
    <mergeCell ref="BM7:BM8"/>
    <mergeCell ref="BN7:BN8"/>
    <mergeCell ref="BO7:BO8"/>
    <mergeCell ref="S9:S10"/>
    <mergeCell ref="T9:T10"/>
    <mergeCell ref="L9:L10"/>
    <mergeCell ref="M9:M10"/>
    <mergeCell ref="N9:N10"/>
    <mergeCell ref="O9:O10"/>
    <mergeCell ref="P9:P10"/>
    <mergeCell ref="Q9:Q10"/>
    <mergeCell ref="R9:R10"/>
    <mergeCell ref="AB9:AB10"/>
    <mergeCell ref="AC9:AC10"/>
    <mergeCell ref="U9:U10"/>
    <mergeCell ref="V9:V10"/>
    <mergeCell ref="W9:W10"/>
    <mergeCell ref="X9:X10"/>
    <mergeCell ref="Y9:Y10"/>
    <mergeCell ref="Z9:Z10"/>
    <mergeCell ref="AA9:AA10"/>
    <mergeCell ref="AK9:AK10"/>
    <mergeCell ref="AL9:AL10"/>
    <mergeCell ref="AD9:AD10"/>
    <mergeCell ref="AE9:AE10"/>
    <mergeCell ref="AF9:AF10"/>
    <mergeCell ref="AG9:AG10"/>
    <mergeCell ref="AH9:AH10"/>
    <mergeCell ref="AI9:AI10"/>
    <mergeCell ref="AJ9:AJ10"/>
    <mergeCell ref="AT9:AT10"/>
    <mergeCell ref="AU9:AU10"/>
    <mergeCell ref="AM9:AM10"/>
    <mergeCell ref="AN9:AN10"/>
    <mergeCell ref="AO9:AO10"/>
    <mergeCell ref="AP9:AP10"/>
    <mergeCell ref="AQ9:AQ10"/>
    <mergeCell ref="AR9:AR10"/>
    <mergeCell ref="AS9:AS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Q9:BQ10"/>
    <mergeCell ref="BR9:BR10"/>
    <mergeCell ref="BS9:BS10"/>
    <mergeCell ref="BJ9:BJ10"/>
    <mergeCell ref="BK9:BK10"/>
    <mergeCell ref="BL9:BL10"/>
    <mergeCell ref="BM9:BM10"/>
    <mergeCell ref="BN9:BN10"/>
    <mergeCell ref="BO9:BO10"/>
    <mergeCell ref="BP9:BP10"/>
    <mergeCell ref="AI11:AI12"/>
    <mergeCell ref="AJ11:AJ12"/>
    <mergeCell ref="AK11:AK12"/>
    <mergeCell ref="AL11:AL12"/>
    <mergeCell ref="AM11:AM12"/>
    <mergeCell ref="AN11:AN12"/>
    <mergeCell ref="AO11:AO12"/>
    <mergeCell ref="AP11:AP12"/>
    <mergeCell ref="AQ11:AQ12"/>
    <mergeCell ref="BB11:BB12"/>
    <mergeCell ref="BC11:BC12"/>
    <mergeCell ref="BD11:BD12"/>
    <mergeCell ref="BE11:BE12"/>
    <mergeCell ref="BF11:BF12"/>
    <mergeCell ref="BN11:BN12"/>
    <mergeCell ref="BO11:BO12"/>
    <mergeCell ref="BP11:BP12"/>
    <mergeCell ref="BQ11:BQ12"/>
    <mergeCell ref="BR11:BR12"/>
    <mergeCell ref="BS11:BS12"/>
    <mergeCell ref="BG11:BG12"/>
    <mergeCell ref="BH11:BH12"/>
    <mergeCell ref="BI11:BI12"/>
    <mergeCell ref="BJ11:BJ12"/>
    <mergeCell ref="BK11:BK12"/>
    <mergeCell ref="BL11:BL12"/>
    <mergeCell ref="BM11:BM12"/>
  </mergeCells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88"/>
    <col customWidth="1" min="3" max="3" width="29.5"/>
    <col customWidth="1" min="4" max="4" width="13.25"/>
    <col customWidth="1" min="5" max="5" width="13.63"/>
    <col customWidth="1" min="6" max="6" width="13.88"/>
    <col customWidth="1" min="7" max="7" width="7.63"/>
    <col customWidth="1" min="8" max="8" width="11.75"/>
  </cols>
  <sheetData>
    <row r="1">
      <c r="B1" s="159"/>
      <c r="D1" s="160" t="s">
        <v>95</v>
      </c>
      <c r="G1" s="159"/>
      <c r="H1" s="159"/>
    </row>
    <row r="2">
      <c r="A2" s="161" t="s">
        <v>96</v>
      </c>
      <c r="B2" s="162" t="s">
        <v>97</v>
      </c>
      <c r="C2" s="161" t="s">
        <v>98</v>
      </c>
      <c r="D2" s="162" t="s">
        <v>99</v>
      </c>
      <c r="E2" s="162" t="s">
        <v>100</v>
      </c>
      <c r="F2" s="159" t="s">
        <v>101</v>
      </c>
      <c r="G2" s="162" t="s">
        <v>102</v>
      </c>
      <c r="H2" s="159" t="s">
        <v>103</v>
      </c>
    </row>
    <row r="3">
      <c r="A3" s="163">
        <v>45971.604166666664</v>
      </c>
      <c r="B3" s="164" t="s">
        <v>104</v>
      </c>
      <c r="C3" s="165" t="s">
        <v>105</v>
      </c>
      <c r="D3" s="166" t="s">
        <v>106</v>
      </c>
      <c r="E3" s="166" t="s">
        <v>107</v>
      </c>
      <c r="F3" s="166" t="s">
        <v>108</v>
      </c>
      <c r="G3" s="167" t="s">
        <v>109</v>
      </c>
      <c r="H3" s="167" t="s">
        <v>110</v>
      </c>
    </row>
    <row r="4">
      <c r="A4" s="168">
        <v>45973.604166666664</v>
      </c>
      <c r="B4" s="169" t="s">
        <v>111</v>
      </c>
      <c r="C4" s="170" t="s">
        <v>21</v>
      </c>
      <c r="D4" s="171" t="s">
        <v>106</v>
      </c>
      <c r="E4" s="171" t="s">
        <v>107</v>
      </c>
      <c r="F4" s="171" t="s">
        <v>112</v>
      </c>
      <c r="G4" s="172" t="s">
        <v>109</v>
      </c>
      <c r="H4" s="172" t="s">
        <v>113</v>
      </c>
    </row>
    <row r="5">
      <c r="A5" s="173">
        <v>46147.583333333336</v>
      </c>
      <c r="B5" s="169" t="s">
        <v>111</v>
      </c>
      <c r="C5" s="174" t="s">
        <v>114</v>
      </c>
      <c r="D5" s="171" t="s">
        <v>106</v>
      </c>
      <c r="E5" s="171" t="s">
        <v>112</v>
      </c>
      <c r="F5" s="171" t="s">
        <v>112</v>
      </c>
      <c r="G5" s="175"/>
      <c r="H5" s="175"/>
    </row>
    <row r="6">
      <c r="A6" s="173">
        <v>46147.59722222222</v>
      </c>
      <c r="B6" s="169" t="s">
        <v>111</v>
      </c>
      <c r="C6" s="176" t="s">
        <v>115</v>
      </c>
      <c r="D6" s="171" t="s">
        <v>106</v>
      </c>
      <c r="E6" s="171" t="s">
        <v>112</v>
      </c>
      <c r="F6" s="171" t="s">
        <v>112</v>
      </c>
      <c r="G6" s="175"/>
      <c r="H6" s="175"/>
    </row>
    <row r="7">
      <c r="A7" s="173">
        <v>46147.61111111111</v>
      </c>
      <c r="B7" s="169" t="s">
        <v>111</v>
      </c>
      <c r="C7" s="174" t="s">
        <v>116</v>
      </c>
      <c r="D7" s="171" t="s">
        <v>106</v>
      </c>
      <c r="E7" s="171" t="s">
        <v>112</v>
      </c>
      <c r="F7" s="171" t="s">
        <v>112</v>
      </c>
      <c r="G7" s="175"/>
      <c r="H7" s="175"/>
    </row>
    <row r="8">
      <c r="A8" s="173">
        <v>46147.625</v>
      </c>
      <c r="B8" s="169" t="s">
        <v>111</v>
      </c>
      <c r="C8" s="174" t="s">
        <v>117</v>
      </c>
      <c r="D8" s="171" t="s">
        <v>106</v>
      </c>
      <c r="E8" s="171" t="s">
        <v>112</v>
      </c>
      <c r="F8" s="171" t="s">
        <v>112</v>
      </c>
      <c r="G8" s="175"/>
      <c r="H8" s="175"/>
    </row>
    <row r="9">
      <c r="A9" s="173">
        <v>46147.63888888889</v>
      </c>
      <c r="B9" s="169" t="s">
        <v>118</v>
      </c>
      <c r="C9" s="177" t="s">
        <v>119</v>
      </c>
      <c r="D9" s="171" t="s">
        <v>106</v>
      </c>
      <c r="E9" s="171" t="s">
        <v>112</v>
      </c>
      <c r="F9" s="171" t="s">
        <v>112</v>
      </c>
      <c r="G9" s="175"/>
      <c r="H9" s="175"/>
    </row>
    <row r="10">
      <c r="A10" s="173">
        <v>46147.65277777778</v>
      </c>
      <c r="B10" s="169" t="s">
        <v>111</v>
      </c>
      <c r="C10" s="170" t="s">
        <v>18</v>
      </c>
      <c r="D10" s="171" t="s">
        <v>106</v>
      </c>
      <c r="E10" s="171" t="s">
        <v>107</v>
      </c>
      <c r="F10" s="171" t="s">
        <v>112</v>
      </c>
      <c r="G10" s="175"/>
      <c r="H10" s="175"/>
    </row>
    <row r="11">
      <c r="A11" s="173">
        <v>46147.666666666664</v>
      </c>
      <c r="B11" s="169" t="s">
        <v>111</v>
      </c>
      <c r="C11" s="174" t="s">
        <v>120</v>
      </c>
      <c r="D11" s="171" t="s">
        <v>106</v>
      </c>
      <c r="E11" s="171" t="s">
        <v>112</v>
      </c>
      <c r="F11" s="171" t="s">
        <v>112</v>
      </c>
      <c r="G11" s="175"/>
      <c r="H11" s="175"/>
    </row>
    <row r="12">
      <c r="A12" s="173">
        <v>46147.680555555555</v>
      </c>
      <c r="B12" s="169" t="s">
        <v>118</v>
      </c>
      <c r="C12" s="177" t="s">
        <v>121</v>
      </c>
      <c r="D12" s="171" t="s">
        <v>106</v>
      </c>
      <c r="E12" s="171" t="s">
        <v>112</v>
      </c>
      <c r="F12" s="171" t="s">
        <v>112</v>
      </c>
      <c r="G12" s="175"/>
      <c r="H12" s="175"/>
    </row>
    <row r="13">
      <c r="A13" s="173">
        <v>46147.694444444445</v>
      </c>
      <c r="B13" s="169" t="s">
        <v>118</v>
      </c>
      <c r="C13" s="177" t="s">
        <v>122</v>
      </c>
      <c r="D13" s="171" t="s">
        <v>106</v>
      </c>
      <c r="E13" s="171" t="s">
        <v>112</v>
      </c>
      <c r="F13" s="171" t="s">
        <v>112</v>
      </c>
      <c r="G13" s="175"/>
      <c r="H13" s="175"/>
    </row>
    <row r="14">
      <c r="A14" s="173">
        <v>46147.708333333336</v>
      </c>
      <c r="B14" s="169" t="s">
        <v>111</v>
      </c>
      <c r="C14" s="174" t="s">
        <v>123</v>
      </c>
      <c r="D14" s="171" t="s">
        <v>106</v>
      </c>
      <c r="E14" s="171" t="s">
        <v>112</v>
      </c>
      <c r="F14" s="171" t="s">
        <v>112</v>
      </c>
      <c r="G14" s="175"/>
      <c r="H14" s="175"/>
    </row>
    <row r="15">
      <c r="A15" s="173">
        <v>46147.72222222222</v>
      </c>
      <c r="B15" s="169" t="s">
        <v>111</v>
      </c>
      <c r="C15" s="174" t="s">
        <v>124</v>
      </c>
      <c r="D15" s="171" t="s">
        <v>106</v>
      </c>
      <c r="E15" s="171" t="s">
        <v>112</v>
      </c>
      <c r="F15" s="171" t="s">
        <v>112</v>
      </c>
      <c r="G15" s="175"/>
      <c r="H15" s="175"/>
    </row>
    <row r="16">
      <c r="A16" s="173">
        <v>46147.73611111111</v>
      </c>
      <c r="B16" s="169" t="s">
        <v>111</v>
      </c>
      <c r="C16" s="174" t="s">
        <v>125</v>
      </c>
      <c r="D16" s="171" t="s">
        <v>106</v>
      </c>
      <c r="E16" s="171" t="s">
        <v>112</v>
      </c>
      <c r="F16" s="171" t="s">
        <v>112</v>
      </c>
      <c r="G16" s="175"/>
      <c r="H16" s="175"/>
    </row>
    <row r="17">
      <c r="A17" s="173">
        <v>46147.75</v>
      </c>
      <c r="B17" s="169" t="s">
        <v>111</v>
      </c>
      <c r="C17" s="174" t="s">
        <v>126</v>
      </c>
      <c r="D17" s="171" t="s">
        <v>106</v>
      </c>
      <c r="E17" s="171" t="s">
        <v>112</v>
      </c>
      <c r="F17" s="171" t="s">
        <v>112</v>
      </c>
      <c r="G17" s="175"/>
      <c r="H17" s="175"/>
    </row>
    <row r="18">
      <c r="A18" s="173">
        <v>46147.76388888889</v>
      </c>
      <c r="B18" s="169" t="s">
        <v>111</v>
      </c>
      <c r="C18" s="174" t="s">
        <v>127</v>
      </c>
      <c r="D18" s="171" t="s">
        <v>106</v>
      </c>
      <c r="E18" s="171" t="s">
        <v>112</v>
      </c>
      <c r="F18" s="171" t="s">
        <v>112</v>
      </c>
      <c r="G18" s="175"/>
      <c r="H18" s="175"/>
    </row>
    <row r="19">
      <c r="A19" s="178">
        <v>46147.77777777778</v>
      </c>
      <c r="B19" s="169" t="s">
        <v>111</v>
      </c>
      <c r="C19" s="177" t="s">
        <v>128</v>
      </c>
      <c r="D19" s="171" t="s">
        <v>106</v>
      </c>
      <c r="E19" s="171" t="s">
        <v>112</v>
      </c>
      <c r="F19" s="171" t="s">
        <v>112</v>
      </c>
      <c r="G19" s="175"/>
      <c r="H19" s="175"/>
    </row>
    <row r="20">
      <c r="A20" s="179">
        <v>46148.583333333336</v>
      </c>
      <c r="B20" s="180" t="s">
        <v>129</v>
      </c>
      <c r="C20" s="181" t="s">
        <v>14</v>
      </c>
      <c r="D20" s="182" t="s">
        <v>106</v>
      </c>
      <c r="E20" s="182" t="s">
        <v>107</v>
      </c>
      <c r="F20" s="182" t="s">
        <v>130</v>
      </c>
      <c r="G20" s="183"/>
      <c r="H20" s="183"/>
    </row>
    <row r="21">
      <c r="A21" s="179">
        <v>46148.59722222222</v>
      </c>
      <c r="B21" s="180" t="s">
        <v>129</v>
      </c>
      <c r="C21" s="184" t="s">
        <v>131</v>
      </c>
      <c r="D21" s="182" t="s">
        <v>106</v>
      </c>
      <c r="E21" s="182" t="s">
        <v>112</v>
      </c>
      <c r="F21" s="182" t="s">
        <v>130</v>
      </c>
      <c r="G21" s="183"/>
      <c r="H21" s="183"/>
    </row>
    <row r="22">
      <c r="A22" s="179">
        <v>46148.61111111111</v>
      </c>
      <c r="B22" s="180" t="s">
        <v>129</v>
      </c>
      <c r="C22" s="184" t="s">
        <v>132</v>
      </c>
      <c r="D22" s="182" t="s">
        <v>106</v>
      </c>
      <c r="E22" s="182" t="s">
        <v>112</v>
      </c>
      <c r="F22" s="182" t="s">
        <v>130</v>
      </c>
      <c r="G22" s="183"/>
      <c r="H22" s="183"/>
    </row>
    <row r="23">
      <c r="A23" s="179">
        <v>46148.625</v>
      </c>
      <c r="B23" s="180" t="s">
        <v>129</v>
      </c>
      <c r="C23" s="184" t="s">
        <v>133</v>
      </c>
      <c r="D23" s="182" t="s">
        <v>106</v>
      </c>
      <c r="E23" s="182" t="s">
        <v>112</v>
      </c>
      <c r="F23" s="182" t="s">
        <v>130</v>
      </c>
      <c r="G23" s="183"/>
      <c r="H23" s="183"/>
    </row>
    <row r="24">
      <c r="A24" s="179">
        <v>46148.63888888889</v>
      </c>
      <c r="B24" s="180" t="s">
        <v>129</v>
      </c>
      <c r="C24" s="184" t="s">
        <v>134</v>
      </c>
      <c r="D24" s="182" t="s">
        <v>106</v>
      </c>
      <c r="E24" s="182" t="s">
        <v>112</v>
      </c>
      <c r="F24" s="182" t="s">
        <v>130</v>
      </c>
      <c r="G24" s="183"/>
      <c r="H24" s="183"/>
    </row>
    <row r="25">
      <c r="A25" s="179">
        <v>46148.65277777778</v>
      </c>
      <c r="B25" s="180" t="s">
        <v>118</v>
      </c>
      <c r="C25" s="185" t="s">
        <v>135</v>
      </c>
      <c r="D25" s="182" t="s">
        <v>106</v>
      </c>
      <c r="E25" s="182" t="s">
        <v>112</v>
      </c>
      <c r="F25" s="182" t="s">
        <v>130</v>
      </c>
      <c r="G25" s="186"/>
      <c r="H25" s="186"/>
    </row>
    <row r="26">
      <c r="A26" s="179">
        <v>46148.666666666664</v>
      </c>
      <c r="B26" s="180" t="s">
        <v>129</v>
      </c>
      <c r="C26" s="184" t="s">
        <v>136</v>
      </c>
      <c r="D26" s="182" t="s">
        <v>106</v>
      </c>
      <c r="E26" s="182" t="s">
        <v>112</v>
      </c>
      <c r="F26" s="182" t="s">
        <v>130</v>
      </c>
      <c r="G26" s="183"/>
      <c r="H26" s="183"/>
    </row>
    <row r="27">
      <c r="A27" s="179">
        <v>46148.680555555555</v>
      </c>
      <c r="B27" s="180" t="s">
        <v>129</v>
      </c>
      <c r="C27" s="184" t="s">
        <v>137</v>
      </c>
      <c r="D27" s="182" t="s">
        <v>106</v>
      </c>
      <c r="E27" s="182" t="s">
        <v>112</v>
      </c>
      <c r="F27" s="182" t="s">
        <v>130</v>
      </c>
      <c r="G27" s="183"/>
      <c r="H27" s="183"/>
    </row>
    <row r="28">
      <c r="A28" s="179">
        <v>46148.694444444445</v>
      </c>
      <c r="B28" s="180" t="s">
        <v>129</v>
      </c>
      <c r="C28" s="184" t="s">
        <v>138</v>
      </c>
      <c r="D28" s="182" t="s">
        <v>106</v>
      </c>
      <c r="E28" s="182" t="s">
        <v>112</v>
      </c>
      <c r="F28" s="182" t="s">
        <v>130</v>
      </c>
      <c r="G28" s="183"/>
      <c r="H28" s="183"/>
    </row>
    <row r="29">
      <c r="A29" s="179">
        <v>46148.708333333336</v>
      </c>
      <c r="B29" s="180" t="s">
        <v>129</v>
      </c>
      <c r="C29" s="184" t="s">
        <v>139</v>
      </c>
      <c r="D29" s="182" t="s">
        <v>106</v>
      </c>
      <c r="E29" s="182" t="s">
        <v>112</v>
      </c>
      <c r="F29" s="182" t="s">
        <v>130</v>
      </c>
      <c r="G29" s="183"/>
      <c r="H29" s="183"/>
    </row>
    <row r="30">
      <c r="A30" s="179">
        <v>46148.72222222222</v>
      </c>
      <c r="B30" s="180" t="s">
        <v>129</v>
      </c>
      <c r="C30" s="184" t="s">
        <v>140</v>
      </c>
      <c r="D30" s="182" t="s">
        <v>106</v>
      </c>
      <c r="E30" s="182" t="s">
        <v>112</v>
      </c>
      <c r="F30" s="182" t="s">
        <v>130</v>
      </c>
      <c r="G30" s="183"/>
      <c r="H30" s="183"/>
    </row>
    <row r="31">
      <c r="A31" s="179">
        <v>46148.73611111111</v>
      </c>
      <c r="B31" s="180" t="s">
        <v>129</v>
      </c>
      <c r="C31" s="184" t="s">
        <v>141</v>
      </c>
      <c r="D31" s="182" t="s">
        <v>106</v>
      </c>
      <c r="E31" s="182" t="s">
        <v>112</v>
      </c>
      <c r="F31" s="182" t="s">
        <v>130</v>
      </c>
      <c r="G31" s="183"/>
      <c r="H31" s="183"/>
    </row>
    <row r="32">
      <c r="A32" s="179">
        <v>46148.75</v>
      </c>
      <c r="B32" s="180" t="s">
        <v>129</v>
      </c>
      <c r="C32" s="184" t="s">
        <v>142</v>
      </c>
      <c r="D32" s="182" t="s">
        <v>106</v>
      </c>
      <c r="E32" s="182" t="s">
        <v>112</v>
      </c>
      <c r="F32" s="182" t="s">
        <v>130</v>
      </c>
      <c r="G32" s="183"/>
      <c r="H32" s="183"/>
    </row>
    <row r="33">
      <c r="A33" s="179">
        <v>46148.76388888889</v>
      </c>
      <c r="B33" s="180" t="s">
        <v>129</v>
      </c>
      <c r="C33" s="187" t="s">
        <v>143</v>
      </c>
      <c r="D33" s="182" t="s">
        <v>106</v>
      </c>
      <c r="E33" s="182" t="s">
        <v>112</v>
      </c>
      <c r="F33" s="182" t="s">
        <v>130</v>
      </c>
      <c r="G33" s="183"/>
      <c r="H33" s="183"/>
    </row>
    <row r="34">
      <c r="A34" s="188">
        <v>46149.72222222222</v>
      </c>
      <c r="B34" s="164" t="s">
        <v>144</v>
      </c>
      <c r="C34" s="165" t="s">
        <v>145</v>
      </c>
      <c r="D34" s="166" t="s">
        <v>106</v>
      </c>
      <c r="E34" s="166" t="s">
        <v>112</v>
      </c>
      <c r="F34" s="166" t="s">
        <v>108</v>
      </c>
      <c r="G34" s="189"/>
      <c r="H34" s="189"/>
    </row>
    <row r="35">
      <c r="A35" s="190">
        <v>46149.73611111111</v>
      </c>
      <c r="B35" s="164" t="s">
        <v>104</v>
      </c>
      <c r="C35" s="191" t="s">
        <v>146</v>
      </c>
      <c r="D35" s="166" t="s">
        <v>106</v>
      </c>
      <c r="E35" s="166" t="s">
        <v>112</v>
      </c>
      <c r="F35" s="166" t="s">
        <v>108</v>
      </c>
      <c r="G35" s="189"/>
      <c r="H35" s="189"/>
    </row>
    <row r="36">
      <c r="A36" s="190">
        <v>46149.75</v>
      </c>
      <c r="B36" s="164" t="s">
        <v>104</v>
      </c>
      <c r="C36" s="191" t="s">
        <v>147</v>
      </c>
      <c r="D36" s="166" t="s">
        <v>106</v>
      </c>
      <c r="E36" s="166" t="s">
        <v>112</v>
      </c>
      <c r="F36" s="166" t="s">
        <v>108</v>
      </c>
      <c r="G36" s="189"/>
      <c r="H36" s="189"/>
    </row>
    <row r="37">
      <c r="A37" s="190">
        <v>46149.76388888889</v>
      </c>
      <c r="B37" s="164" t="s">
        <v>104</v>
      </c>
      <c r="C37" s="191" t="s">
        <v>148</v>
      </c>
      <c r="D37" s="166" t="s">
        <v>106</v>
      </c>
      <c r="E37" s="166" t="s">
        <v>112</v>
      </c>
      <c r="F37" s="166" t="s">
        <v>108</v>
      </c>
      <c r="G37" s="189"/>
      <c r="H37" s="189"/>
    </row>
    <row r="38">
      <c r="A38" s="190">
        <v>46149.77777777778</v>
      </c>
      <c r="B38" s="164" t="s">
        <v>104</v>
      </c>
      <c r="C38" s="191" t="s">
        <v>149</v>
      </c>
      <c r="D38" s="166" t="s">
        <v>106</v>
      </c>
      <c r="E38" s="166" t="s">
        <v>112</v>
      </c>
      <c r="F38" s="166" t="s">
        <v>108</v>
      </c>
      <c r="G38" s="189"/>
      <c r="H38" s="189"/>
    </row>
    <row r="39">
      <c r="A39" s="190">
        <v>46149.791666666664</v>
      </c>
      <c r="B39" s="164" t="s">
        <v>104</v>
      </c>
      <c r="C39" s="191" t="s">
        <v>150</v>
      </c>
      <c r="D39" s="166" t="s">
        <v>106</v>
      </c>
      <c r="E39" s="166" t="s">
        <v>112</v>
      </c>
      <c r="F39" s="166" t="s">
        <v>108</v>
      </c>
      <c r="G39" s="189"/>
      <c r="H39" s="189"/>
    </row>
    <row r="40">
      <c r="A40" s="190">
        <v>46149.805555555555</v>
      </c>
      <c r="B40" s="164" t="s">
        <v>104</v>
      </c>
      <c r="C40" s="191" t="s">
        <v>151</v>
      </c>
      <c r="D40" s="166" t="s">
        <v>106</v>
      </c>
      <c r="E40" s="166" t="s">
        <v>112</v>
      </c>
      <c r="F40" s="166" t="s">
        <v>108</v>
      </c>
      <c r="G40" s="189"/>
      <c r="H40" s="189"/>
    </row>
    <row r="41">
      <c r="A41" s="190">
        <v>46149.819444444445</v>
      </c>
      <c r="B41" s="164" t="s">
        <v>104</v>
      </c>
      <c r="C41" s="191" t="s">
        <v>152</v>
      </c>
      <c r="D41" s="166" t="s">
        <v>106</v>
      </c>
      <c r="E41" s="166" t="s">
        <v>112</v>
      </c>
      <c r="F41" s="166" t="s">
        <v>108</v>
      </c>
      <c r="G41" s="189"/>
      <c r="H41" s="189"/>
    </row>
    <row r="42">
      <c r="A42" s="192">
        <v>46153.72222222222</v>
      </c>
      <c r="B42" s="193" t="s">
        <v>153</v>
      </c>
      <c r="C42" s="194" t="s">
        <v>154</v>
      </c>
      <c r="D42" s="195" t="s">
        <v>106</v>
      </c>
      <c r="E42" s="195" t="s">
        <v>112</v>
      </c>
      <c r="F42" s="195" t="s">
        <v>155</v>
      </c>
      <c r="G42" s="196"/>
      <c r="H42" s="196"/>
    </row>
    <row r="43">
      <c r="A43" s="192">
        <v>46153.73611111111</v>
      </c>
      <c r="B43" s="193" t="s">
        <v>153</v>
      </c>
      <c r="C43" s="194" t="s">
        <v>156</v>
      </c>
      <c r="D43" s="195" t="s">
        <v>106</v>
      </c>
      <c r="E43" s="195" t="s">
        <v>112</v>
      </c>
      <c r="F43" s="195" t="s">
        <v>155</v>
      </c>
      <c r="G43" s="196"/>
      <c r="H43" s="196"/>
    </row>
    <row r="44">
      <c r="A44" s="192">
        <v>46153.75</v>
      </c>
      <c r="B44" s="193" t="s">
        <v>153</v>
      </c>
      <c r="C44" s="194" t="s">
        <v>157</v>
      </c>
      <c r="D44" s="195" t="s">
        <v>106</v>
      </c>
      <c r="E44" s="195" t="s">
        <v>112</v>
      </c>
      <c r="F44" s="195" t="s">
        <v>155</v>
      </c>
      <c r="G44" s="196"/>
      <c r="H44" s="196"/>
    </row>
    <row r="45">
      <c r="A45" s="192">
        <v>46153.76388888889</v>
      </c>
      <c r="B45" s="193" t="s">
        <v>153</v>
      </c>
      <c r="C45" s="194" t="s">
        <v>158</v>
      </c>
      <c r="D45" s="195" t="s">
        <v>106</v>
      </c>
      <c r="E45" s="195" t="s">
        <v>112</v>
      </c>
      <c r="F45" s="195" t="s">
        <v>155</v>
      </c>
      <c r="G45" s="196"/>
      <c r="H45" s="196"/>
    </row>
    <row r="46">
      <c r="A46" s="192">
        <v>46153.77777777778</v>
      </c>
      <c r="B46" s="193" t="s">
        <v>153</v>
      </c>
      <c r="C46" s="194" t="s">
        <v>159</v>
      </c>
      <c r="D46" s="195" t="s">
        <v>106</v>
      </c>
      <c r="E46" s="195" t="s">
        <v>112</v>
      </c>
      <c r="F46" s="195" t="s">
        <v>155</v>
      </c>
      <c r="G46" s="196"/>
      <c r="H46" s="196"/>
    </row>
    <row r="47">
      <c r="A47" s="197">
        <v>46155.59722222222</v>
      </c>
      <c r="B47" s="198" t="s">
        <v>160</v>
      </c>
      <c r="C47" s="199" t="s">
        <v>161</v>
      </c>
      <c r="D47" s="200" t="s">
        <v>106</v>
      </c>
      <c r="E47" s="200" t="s">
        <v>112</v>
      </c>
      <c r="F47" s="201" t="s">
        <v>162</v>
      </c>
      <c r="G47" s="202"/>
      <c r="H47" s="202"/>
    </row>
    <row r="48">
      <c r="A48" s="197">
        <v>46155.61111111111</v>
      </c>
      <c r="B48" s="198" t="s">
        <v>160</v>
      </c>
      <c r="C48" s="199" t="s">
        <v>163</v>
      </c>
      <c r="D48" s="200" t="s">
        <v>106</v>
      </c>
      <c r="E48" s="200" t="s">
        <v>112</v>
      </c>
      <c r="F48" s="201" t="s">
        <v>162</v>
      </c>
      <c r="G48" s="202"/>
      <c r="H48" s="202"/>
    </row>
    <row r="49">
      <c r="A49" s="197">
        <v>46155.625</v>
      </c>
      <c r="B49" s="198" t="s">
        <v>160</v>
      </c>
      <c r="C49" s="199" t="s">
        <v>164</v>
      </c>
      <c r="D49" s="200" t="s">
        <v>106</v>
      </c>
      <c r="E49" s="200" t="s">
        <v>112</v>
      </c>
      <c r="F49" s="201" t="s">
        <v>162</v>
      </c>
      <c r="G49" s="202"/>
      <c r="H49" s="202"/>
    </row>
    <row r="50">
      <c r="A50" s="197">
        <v>46155.63888888889</v>
      </c>
      <c r="B50" s="198" t="s">
        <v>160</v>
      </c>
      <c r="C50" s="199" t="s">
        <v>165</v>
      </c>
      <c r="D50" s="200" t="s">
        <v>106</v>
      </c>
      <c r="E50" s="200" t="s">
        <v>112</v>
      </c>
      <c r="F50" s="201" t="s">
        <v>162</v>
      </c>
      <c r="G50" s="202"/>
      <c r="H50" s="202"/>
    </row>
    <row r="51">
      <c r="A51" s="203"/>
      <c r="B51" s="204" t="s">
        <v>166</v>
      </c>
      <c r="C51" s="205" t="s">
        <v>25</v>
      </c>
      <c r="D51" s="206" t="s">
        <v>106</v>
      </c>
      <c r="E51" s="206" t="s">
        <v>107</v>
      </c>
      <c r="F51" s="206" t="s">
        <v>107</v>
      </c>
      <c r="G51" s="207"/>
      <c r="H51" s="208" t="s">
        <v>167</v>
      </c>
    </row>
    <row r="52">
      <c r="A52" s="159"/>
      <c r="B52" s="159"/>
      <c r="F52" s="209"/>
      <c r="G52" s="209"/>
      <c r="H52" s="159"/>
    </row>
  </sheetData>
  <autoFilter ref="$A$2:$H$51">
    <sortState ref="A2:H51">
      <sortCondition ref="A2:A51"/>
      <sortCondition ref="C2:C51"/>
      <sortCondition ref="F2:F51"/>
      <sortCondition ref="H2:H51"/>
      <sortCondition ref="B2:B51"/>
    </sortState>
  </autoFilter>
  <mergeCells count="1">
    <mergeCell ref="D1:F1"/>
  </mergeCells>
  <hyperlinks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ref="D34"/>
    <hyperlink r:id="rId98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E40"/>
    <hyperlink r:id="rId117" ref="F40"/>
    <hyperlink r:id="rId118" ref="D41"/>
    <hyperlink r:id="rId119" ref="E41"/>
    <hyperlink r:id="rId120" ref="F41"/>
    <hyperlink r:id="rId121" ref="D42"/>
    <hyperlink r:id="rId122" ref="E42"/>
    <hyperlink r:id="rId123" ref="F42"/>
    <hyperlink r:id="rId124" ref="D43"/>
    <hyperlink r:id="rId125" ref="E43"/>
    <hyperlink r:id="rId126" ref="F43"/>
    <hyperlink r:id="rId127" ref="D44"/>
    <hyperlink r:id="rId128" ref="E44"/>
    <hyperlink r:id="rId129" ref="F44"/>
    <hyperlink r:id="rId130" ref="D45"/>
    <hyperlink r:id="rId131" ref="E45"/>
    <hyperlink r:id="rId132" ref="F45"/>
    <hyperlink r:id="rId133" ref="D46"/>
    <hyperlink r:id="rId134" ref="E46"/>
    <hyperlink r:id="rId135" ref="F46"/>
    <hyperlink r:id="rId136" ref="D47"/>
    <hyperlink r:id="rId137" ref="E47"/>
    <hyperlink r:id="rId138" ref="F47"/>
    <hyperlink r:id="rId139" ref="D48"/>
    <hyperlink r:id="rId140" ref="E48"/>
    <hyperlink r:id="rId141" ref="F48"/>
    <hyperlink r:id="rId142" ref="D49"/>
    <hyperlink r:id="rId143" ref="E49"/>
    <hyperlink r:id="rId144" ref="F49"/>
    <hyperlink r:id="rId145" ref="D50"/>
    <hyperlink r:id="rId146" ref="E50"/>
    <hyperlink r:id="rId147" ref="F50"/>
    <hyperlink r:id="rId148" ref="D51"/>
    <hyperlink r:id="rId149" ref="E51"/>
    <hyperlink r:id="rId150" ref="F51"/>
  </hyperlinks>
  <drawing r:id="rId151"/>
  <legacyDrawing r:id="rId15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88"/>
    <col customWidth="1" min="2" max="36" width="4.75"/>
    <col customWidth="1" min="37" max="37" width="10.88"/>
  </cols>
  <sheetData>
    <row r="1">
      <c r="A1" s="210"/>
      <c r="B1" s="211" t="s">
        <v>168</v>
      </c>
      <c r="C1" s="212" t="s">
        <v>169</v>
      </c>
      <c r="D1" s="213" t="s">
        <v>170</v>
      </c>
      <c r="E1" s="214" t="s">
        <v>30</v>
      </c>
      <c r="F1" s="215" t="s">
        <v>171</v>
      </c>
      <c r="G1" s="216" t="s">
        <v>20</v>
      </c>
      <c r="H1" s="217" t="s">
        <v>172</v>
      </c>
      <c r="I1" s="211" t="s">
        <v>168</v>
      </c>
      <c r="J1" s="212" t="s">
        <v>169</v>
      </c>
      <c r="K1" s="213" t="s">
        <v>170</v>
      </c>
      <c r="L1" s="214" t="s">
        <v>30</v>
      </c>
      <c r="M1" s="215" t="s">
        <v>171</v>
      </c>
      <c r="N1" s="216" t="s">
        <v>20</v>
      </c>
      <c r="O1" s="217" t="s">
        <v>172</v>
      </c>
      <c r="P1" s="211" t="s">
        <v>168</v>
      </c>
      <c r="Q1" s="212" t="s">
        <v>169</v>
      </c>
      <c r="R1" s="213" t="s">
        <v>170</v>
      </c>
      <c r="S1" s="214" t="s">
        <v>30</v>
      </c>
      <c r="T1" s="215" t="s">
        <v>171</v>
      </c>
      <c r="U1" s="216" t="s">
        <v>20</v>
      </c>
      <c r="V1" s="217" t="s">
        <v>172</v>
      </c>
      <c r="W1" s="211" t="s">
        <v>168</v>
      </c>
      <c r="X1" s="212" t="s">
        <v>169</v>
      </c>
      <c r="Y1" s="213" t="s">
        <v>170</v>
      </c>
      <c r="Z1" s="214" t="s">
        <v>30</v>
      </c>
      <c r="AA1" s="215" t="s">
        <v>171</v>
      </c>
      <c r="AB1" s="216" t="s">
        <v>20</v>
      </c>
      <c r="AC1" s="217" t="s">
        <v>172</v>
      </c>
      <c r="AD1" s="211" t="s">
        <v>168</v>
      </c>
      <c r="AE1" s="212" t="s">
        <v>169</v>
      </c>
      <c r="AF1" s="213" t="s">
        <v>170</v>
      </c>
      <c r="AG1" s="214" t="s">
        <v>30</v>
      </c>
      <c r="AH1" s="215" t="s">
        <v>171</v>
      </c>
      <c r="AI1" s="216" t="s">
        <v>20</v>
      </c>
      <c r="AJ1" s="217" t="s">
        <v>172</v>
      </c>
      <c r="AK1" s="218"/>
    </row>
    <row r="2">
      <c r="A2" s="219"/>
      <c r="B2" s="220" t="s">
        <v>173</v>
      </c>
      <c r="C2" s="221"/>
      <c r="D2" s="221"/>
      <c r="E2" s="221"/>
      <c r="F2" s="221"/>
      <c r="G2" s="221"/>
      <c r="H2" s="222"/>
      <c r="I2" s="220" t="s">
        <v>174</v>
      </c>
      <c r="J2" s="221"/>
      <c r="K2" s="221"/>
      <c r="L2" s="221"/>
      <c r="M2" s="221"/>
      <c r="N2" s="221"/>
      <c r="O2" s="222"/>
      <c r="P2" s="220" t="s">
        <v>175</v>
      </c>
      <c r="Q2" s="221"/>
      <c r="R2" s="221"/>
      <c r="S2" s="221"/>
      <c r="T2" s="221"/>
      <c r="U2" s="221"/>
      <c r="V2" s="222"/>
      <c r="W2" s="220" t="s">
        <v>176</v>
      </c>
      <c r="X2" s="221"/>
      <c r="Y2" s="221"/>
      <c r="Z2" s="221"/>
      <c r="AA2" s="221"/>
      <c r="AB2" s="221"/>
      <c r="AC2" s="222"/>
      <c r="AD2" s="220" t="s">
        <v>177</v>
      </c>
      <c r="AE2" s="221"/>
      <c r="AF2" s="221"/>
      <c r="AG2" s="221"/>
      <c r="AH2" s="221"/>
      <c r="AI2" s="221"/>
      <c r="AJ2" s="222"/>
      <c r="AK2" s="219"/>
    </row>
    <row r="3">
      <c r="A3" s="219" t="s">
        <v>178</v>
      </c>
      <c r="B3" s="223" t="s">
        <v>179</v>
      </c>
      <c r="C3" s="224" t="s">
        <v>179</v>
      </c>
      <c r="D3" s="223" t="s">
        <v>179</v>
      </c>
      <c r="E3" s="224" t="s">
        <v>179</v>
      </c>
      <c r="F3" s="223" t="s">
        <v>179</v>
      </c>
      <c r="G3" s="224" t="s">
        <v>179</v>
      </c>
      <c r="H3" s="225" t="s">
        <v>179</v>
      </c>
      <c r="I3" s="223" t="s">
        <v>179</v>
      </c>
      <c r="J3" s="224" t="s">
        <v>179</v>
      </c>
      <c r="K3" s="223" t="s">
        <v>179</v>
      </c>
      <c r="L3" s="224" t="s">
        <v>179</v>
      </c>
      <c r="M3" s="223" t="s">
        <v>179</v>
      </c>
      <c r="N3" s="224" t="s">
        <v>179</v>
      </c>
      <c r="O3" s="225" t="s">
        <v>179</v>
      </c>
      <c r="P3" s="226" t="s">
        <v>179</v>
      </c>
      <c r="Q3" s="227" t="s">
        <v>179</v>
      </c>
      <c r="R3" s="226" t="s">
        <v>179</v>
      </c>
      <c r="S3" s="227" t="s">
        <v>179</v>
      </c>
      <c r="T3" s="226" t="s">
        <v>179</v>
      </c>
      <c r="U3" s="227" t="s">
        <v>179</v>
      </c>
      <c r="V3" s="228" t="s">
        <v>179</v>
      </c>
      <c r="W3" s="226" t="s">
        <v>179</v>
      </c>
      <c r="X3" s="227" t="s">
        <v>179</v>
      </c>
      <c r="Y3" s="226" t="s">
        <v>179</v>
      </c>
      <c r="Z3" s="227" t="s">
        <v>179</v>
      </c>
      <c r="AA3" s="226" t="s">
        <v>179</v>
      </c>
      <c r="AB3" s="227" t="s">
        <v>179</v>
      </c>
      <c r="AC3" s="228" t="s">
        <v>179</v>
      </c>
      <c r="AD3" s="226" t="s">
        <v>179</v>
      </c>
      <c r="AE3" s="227" t="s">
        <v>179</v>
      </c>
      <c r="AF3" s="226" t="s">
        <v>179</v>
      </c>
      <c r="AG3" s="227" t="s">
        <v>179</v>
      </c>
      <c r="AH3" s="226" t="s">
        <v>179</v>
      </c>
      <c r="AI3" s="227" t="s">
        <v>179</v>
      </c>
      <c r="AJ3" s="228" t="s">
        <v>179</v>
      </c>
      <c r="AK3" s="229"/>
    </row>
    <row r="4">
      <c r="A4" s="219" t="s">
        <v>180</v>
      </c>
      <c r="B4" s="230" t="s">
        <v>179</v>
      </c>
      <c r="C4" s="231" t="s">
        <v>179</v>
      </c>
      <c r="D4" s="230" t="s">
        <v>179</v>
      </c>
      <c r="E4" s="231" t="s">
        <v>179</v>
      </c>
      <c r="F4" s="230" t="s">
        <v>179</v>
      </c>
      <c r="G4" s="231" t="s">
        <v>179</v>
      </c>
      <c r="H4" s="232" t="s">
        <v>179</v>
      </c>
      <c r="I4" s="233" t="s">
        <v>181</v>
      </c>
      <c r="J4" s="231" t="s">
        <v>179</v>
      </c>
      <c r="K4" s="230" t="s">
        <v>179</v>
      </c>
      <c r="L4" s="231" t="s">
        <v>179</v>
      </c>
      <c r="M4" s="230" t="s">
        <v>179</v>
      </c>
      <c r="N4" s="231" t="s">
        <v>179</v>
      </c>
      <c r="O4" s="232" t="s">
        <v>179</v>
      </c>
      <c r="P4" s="234" t="s">
        <v>179</v>
      </c>
      <c r="Q4" s="235" t="s">
        <v>179</v>
      </c>
      <c r="R4" s="234" t="s">
        <v>179</v>
      </c>
      <c r="S4" s="235" t="s">
        <v>179</v>
      </c>
      <c r="T4" s="234" t="s">
        <v>179</v>
      </c>
      <c r="U4" s="235" t="s">
        <v>179</v>
      </c>
      <c r="V4" s="236" t="s">
        <v>179</v>
      </c>
      <c r="W4" s="234" t="s">
        <v>179</v>
      </c>
      <c r="X4" s="235" t="s">
        <v>179</v>
      </c>
      <c r="Y4" s="234" t="s">
        <v>179</v>
      </c>
      <c r="Z4" s="235" t="s">
        <v>179</v>
      </c>
      <c r="AA4" s="234" t="s">
        <v>179</v>
      </c>
      <c r="AB4" s="235" t="s">
        <v>179</v>
      </c>
      <c r="AC4" s="236" t="s">
        <v>179</v>
      </c>
      <c r="AD4" s="234" t="s">
        <v>179</v>
      </c>
      <c r="AE4" s="235" t="s">
        <v>179</v>
      </c>
      <c r="AF4" s="234" t="s">
        <v>182</v>
      </c>
      <c r="AG4" s="235" t="s">
        <v>179</v>
      </c>
      <c r="AH4" s="234" t="s">
        <v>179</v>
      </c>
      <c r="AI4" s="235" t="s">
        <v>179</v>
      </c>
      <c r="AJ4" s="236" t="s">
        <v>179</v>
      </c>
      <c r="AK4" s="229"/>
    </row>
    <row r="5">
      <c r="A5" s="219" t="s">
        <v>183</v>
      </c>
      <c r="B5" s="230" t="s">
        <v>179</v>
      </c>
      <c r="C5" s="231" t="s">
        <v>179</v>
      </c>
      <c r="D5" s="230" t="s">
        <v>179</v>
      </c>
      <c r="E5" s="231" t="s">
        <v>179</v>
      </c>
      <c r="F5" s="230" t="s">
        <v>179</v>
      </c>
      <c r="G5" s="231" t="s">
        <v>179</v>
      </c>
      <c r="H5" s="232" t="s">
        <v>179</v>
      </c>
      <c r="I5" s="233" t="s">
        <v>181</v>
      </c>
      <c r="J5" s="231" t="s">
        <v>179</v>
      </c>
      <c r="K5" s="230" t="s">
        <v>179</v>
      </c>
      <c r="L5" s="231" t="s">
        <v>179</v>
      </c>
      <c r="M5" s="230" t="s">
        <v>179</v>
      </c>
      <c r="N5" s="231" t="s">
        <v>179</v>
      </c>
      <c r="O5" s="232" t="s">
        <v>179</v>
      </c>
      <c r="P5" s="234" t="s">
        <v>179</v>
      </c>
      <c r="Q5" s="235" t="s">
        <v>179</v>
      </c>
      <c r="R5" s="234" t="s">
        <v>179</v>
      </c>
      <c r="S5" s="235" t="s">
        <v>179</v>
      </c>
      <c r="T5" s="234" t="s">
        <v>179</v>
      </c>
      <c r="U5" s="235" t="s">
        <v>179</v>
      </c>
      <c r="V5" s="236" t="s">
        <v>179</v>
      </c>
      <c r="W5" s="234" t="s">
        <v>179</v>
      </c>
      <c r="X5" s="235" t="s">
        <v>179</v>
      </c>
      <c r="Y5" s="234" t="s">
        <v>179</v>
      </c>
      <c r="Z5" s="235" t="s">
        <v>179</v>
      </c>
      <c r="AA5" s="234" t="s">
        <v>179</v>
      </c>
      <c r="AB5" s="235" t="s">
        <v>179</v>
      </c>
      <c r="AC5" s="236" t="s">
        <v>179</v>
      </c>
      <c r="AD5" s="234" t="s">
        <v>179</v>
      </c>
      <c r="AE5" s="235" t="s">
        <v>179</v>
      </c>
      <c r="AF5" s="234" t="s">
        <v>182</v>
      </c>
      <c r="AG5" s="235" t="s">
        <v>179</v>
      </c>
      <c r="AH5" s="234" t="s">
        <v>179</v>
      </c>
      <c r="AI5" s="235" t="s">
        <v>179</v>
      </c>
      <c r="AJ5" s="236" t="s">
        <v>179</v>
      </c>
      <c r="AK5" s="229"/>
    </row>
    <row r="6">
      <c r="A6" s="219" t="s">
        <v>184</v>
      </c>
      <c r="B6" s="237" t="s">
        <v>185</v>
      </c>
      <c r="C6" s="238" t="s">
        <v>185</v>
      </c>
      <c r="D6" s="237" t="s">
        <v>185</v>
      </c>
      <c r="E6" s="238" t="s">
        <v>185</v>
      </c>
      <c r="F6" s="237" t="s">
        <v>185</v>
      </c>
      <c r="G6" s="238" t="s">
        <v>185</v>
      </c>
      <c r="H6" s="239" t="s">
        <v>185</v>
      </c>
      <c r="I6" s="237" t="s">
        <v>185</v>
      </c>
      <c r="J6" s="238" t="s">
        <v>185</v>
      </c>
      <c r="K6" s="237" t="s">
        <v>185</v>
      </c>
      <c r="L6" s="238" t="s">
        <v>185</v>
      </c>
      <c r="M6" s="237" t="s">
        <v>185</v>
      </c>
      <c r="N6" s="238" t="s">
        <v>185</v>
      </c>
      <c r="O6" s="239" t="s">
        <v>185</v>
      </c>
      <c r="P6" s="237" t="s">
        <v>185</v>
      </c>
      <c r="Q6" s="238" t="s">
        <v>185</v>
      </c>
      <c r="R6" s="237" t="s">
        <v>185</v>
      </c>
      <c r="S6" s="238" t="s">
        <v>185</v>
      </c>
      <c r="T6" s="237" t="s">
        <v>185</v>
      </c>
      <c r="U6" s="238" t="s">
        <v>185</v>
      </c>
      <c r="V6" s="239" t="s">
        <v>185</v>
      </c>
      <c r="W6" s="237" t="s">
        <v>185</v>
      </c>
      <c r="X6" s="238" t="s">
        <v>185</v>
      </c>
      <c r="Y6" s="237" t="s">
        <v>185</v>
      </c>
      <c r="Z6" s="238" t="s">
        <v>185</v>
      </c>
      <c r="AA6" s="237" t="s">
        <v>185</v>
      </c>
      <c r="AB6" s="238" t="s">
        <v>185</v>
      </c>
      <c r="AC6" s="239" t="s">
        <v>185</v>
      </c>
      <c r="AD6" s="237" t="s">
        <v>185</v>
      </c>
      <c r="AE6" s="238" t="s">
        <v>185</v>
      </c>
      <c r="AF6" s="237" t="s">
        <v>185</v>
      </c>
      <c r="AG6" s="238" t="s">
        <v>185</v>
      </c>
      <c r="AH6" s="237" t="s">
        <v>185</v>
      </c>
      <c r="AI6" s="238" t="s">
        <v>185</v>
      </c>
      <c r="AJ6" s="239" t="s">
        <v>185</v>
      </c>
      <c r="AK6" s="229"/>
    </row>
    <row r="7">
      <c r="A7" s="219" t="s">
        <v>186</v>
      </c>
      <c r="B7" s="230" t="s">
        <v>179</v>
      </c>
      <c r="C7" s="231" t="s">
        <v>179</v>
      </c>
      <c r="D7" s="230" t="s">
        <v>179</v>
      </c>
      <c r="E7" s="231" t="s">
        <v>179</v>
      </c>
      <c r="F7" s="230" t="s">
        <v>179</v>
      </c>
      <c r="G7" s="231" t="s">
        <v>179</v>
      </c>
      <c r="H7" s="232" t="s">
        <v>179</v>
      </c>
      <c r="I7" s="233" t="s">
        <v>181</v>
      </c>
      <c r="J7" s="231" t="s">
        <v>179</v>
      </c>
      <c r="K7" s="230" t="s">
        <v>179</v>
      </c>
      <c r="L7" s="231" t="s">
        <v>179</v>
      </c>
      <c r="M7" s="240" t="s">
        <v>187</v>
      </c>
      <c r="N7" s="231" t="s">
        <v>179</v>
      </c>
      <c r="O7" s="232" t="s">
        <v>179</v>
      </c>
      <c r="P7" s="234" t="s">
        <v>179</v>
      </c>
      <c r="Q7" s="235" t="s">
        <v>179</v>
      </c>
      <c r="R7" s="234" t="s">
        <v>179</v>
      </c>
      <c r="S7" s="235" t="s">
        <v>179</v>
      </c>
      <c r="T7" s="234" t="s">
        <v>179</v>
      </c>
      <c r="U7" s="235" t="s">
        <v>179</v>
      </c>
      <c r="V7" s="236" t="s">
        <v>179</v>
      </c>
      <c r="W7" s="234" t="s">
        <v>179</v>
      </c>
      <c r="X7" s="235" t="s">
        <v>179</v>
      </c>
      <c r="Y7" s="234" t="s">
        <v>179</v>
      </c>
      <c r="Z7" s="235" t="s">
        <v>179</v>
      </c>
      <c r="AA7" s="234" t="s">
        <v>179</v>
      </c>
      <c r="AB7" s="235" t="s">
        <v>179</v>
      </c>
      <c r="AC7" s="236" t="s">
        <v>179</v>
      </c>
      <c r="AD7" s="234" t="s">
        <v>179</v>
      </c>
      <c r="AE7" s="235" t="s">
        <v>179</v>
      </c>
      <c r="AF7" s="241" t="s">
        <v>181</v>
      </c>
      <c r="AG7" s="235" t="s">
        <v>179</v>
      </c>
      <c r="AH7" s="234" t="s">
        <v>179</v>
      </c>
      <c r="AI7" s="235" t="s">
        <v>179</v>
      </c>
      <c r="AJ7" s="236" t="s">
        <v>179</v>
      </c>
      <c r="AK7" s="229"/>
    </row>
    <row r="8">
      <c r="A8" s="219" t="s">
        <v>188</v>
      </c>
      <c r="B8" s="230" t="s">
        <v>179</v>
      </c>
      <c r="C8" s="231" t="s">
        <v>179</v>
      </c>
      <c r="D8" s="230" t="s">
        <v>179</v>
      </c>
      <c r="E8" s="231" t="s">
        <v>179</v>
      </c>
      <c r="F8" s="230" t="s">
        <v>179</v>
      </c>
      <c r="G8" s="231" t="s">
        <v>179</v>
      </c>
      <c r="H8" s="232" t="s">
        <v>179</v>
      </c>
      <c r="I8" s="233" t="s">
        <v>181</v>
      </c>
      <c r="J8" s="231" t="s">
        <v>179</v>
      </c>
      <c r="K8" s="230" t="s">
        <v>179</v>
      </c>
      <c r="L8" s="231" t="s">
        <v>179</v>
      </c>
      <c r="M8" s="240" t="s">
        <v>181</v>
      </c>
      <c r="N8" s="231" t="s">
        <v>179</v>
      </c>
      <c r="O8" s="232" t="s">
        <v>179</v>
      </c>
      <c r="P8" s="234" t="s">
        <v>179</v>
      </c>
      <c r="Q8" s="235" t="s">
        <v>179</v>
      </c>
      <c r="R8" s="234" t="s">
        <v>179</v>
      </c>
      <c r="S8" s="235" t="s">
        <v>179</v>
      </c>
      <c r="T8" s="234" t="s">
        <v>179</v>
      </c>
      <c r="U8" s="235" t="s">
        <v>179</v>
      </c>
      <c r="V8" s="236" t="s">
        <v>179</v>
      </c>
      <c r="W8" s="234" t="s">
        <v>179</v>
      </c>
      <c r="X8" s="235" t="s">
        <v>179</v>
      </c>
      <c r="Y8" s="234" t="s">
        <v>179</v>
      </c>
      <c r="Z8" s="235" t="s">
        <v>179</v>
      </c>
      <c r="AA8" s="234" t="s">
        <v>179</v>
      </c>
      <c r="AB8" s="235" t="s">
        <v>179</v>
      </c>
      <c r="AC8" s="236" t="s">
        <v>179</v>
      </c>
      <c r="AD8" s="234" t="s">
        <v>179</v>
      </c>
      <c r="AE8" s="235" t="s">
        <v>179</v>
      </c>
      <c r="AF8" s="241" t="s">
        <v>181</v>
      </c>
      <c r="AG8" s="235" t="s">
        <v>179</v>
      </c>
      <c r="AH8" s="234" t="s">
        <v>179</v>
      </c>
      <c r="AI8" s="235" t="s">
        <v>179</v>
      </c>
      <c r="AJ8" s="236" t="s">
        <v>179</v>
      </c>
      <c r="AK8" s="229"/>
    </row>
    <row r="9">
      <c r="A9" s="219" t="s">
        <v>189</v>
      </c>
      <c r="B9" s="230" t="s">
        <v>179</v>
      </c>
      <c r="C9" s="231" t="s">
        <v>179</v>
      </c>
      <c r="D9" s="230" t="s">
        <v>179</v>
      </c>
      <c r="E9" s="231" t="s">
        <v>179</v>
      </c>
      <c r="F9" s="230" t="s">
        <v>179</v>
      </c>
      <c r="G9" s="231" t="s">
        <v>179</v>
      </c>
      <c r="H9" s="242" t="s">
        <v>181</v>
      </c>
      <c r="I9" s="230" t="s">
        <v>190</v>
      </c>
      <c r="J9" s="231" t="s">
        <v>190</v>
      </c>
      <c r="K9" s="230" t="s">
        <v>190</v>
      </c>
      <c r="L9" s="231" t="s">
        <v>190</v>
      </c>
      <c r="M9" s="230" t="s">
        <v>190</v>
      </c>
      <c r="N9" s="231" t="s">
        <v>190</v>
      </c>
      <c r="O9" s="232" t="s">
        <v>190</v>
      </c>
      <c r="P9" s="234" t="s">
        <v>179</v>
      </c>
      <c r="Q9" s="235" t="s">
        <v>179</v>
      </c>
      <c r="R9" s="234" t="s">
        <v>179</v>
      </c>
      <c r="S9" s="235" t="s">
        <v>179</v>
      </c>
      <c r="T9" s="234" t="s">
        <v>179</v>
      </c>
      <c r="U9" s="235" t="s">
        <v>179</v>
      </c>
      <c r="V9" s="242" t="s">
        <v>181</v>
      </c>
      <c r="W9" s="234" t="s">
        <v>179</v>
      </c>
      <c r="X9" s="235" t="s">
        <v>179</v>
      </c>
      <c r="Y9" s="234" t="s">
        <v>179</v>
      </c>
      <c r="Z9" s="235" t="s">
        <v>179</v>
      </c>
      <c r="AA9" s="234" t="s">
        <v>179</v>
      </c>
      <c r="AB9" s="235" t="s">
        <v>179</v>
      </c>
      <c r="AC9" s="242" t="s">
        <v>181</v>
      </c>
      <c r="AD9" s="234" t="s">
        <v>179</v>
      </c>
      <c r="AE9" s="235" t="s">
        <v>179</v>
      </c>
      <c r="AF9" s="241" t="s">
        <v>181</v>
      </c>
      <c r="AG9" s="235" t="s">
        <v>179</v>
      </c>
      <c r="AH9" s="234" t="s">
        <v>179</v>
      </c>
      <c r="AI9" s="235" t="s">
        <v>179</v>
      </c>
      <c r="AJ9" s="236" t="s">
        <v>179</v>
      </c>
      <c r="AK9" s="229"/>
    </row>
    <row r="10">
      <c r="A10" s="219" t="s">
        <v>191</v>
      </c>
      <c r="B10" s="230" t="s">
        <v>179</v>
      </c>
      <c r="C10" s="243" t="s">
        <v>181</v>
      </c>
      <c r="D10" s="230" t="s">
        <v>179</v>
      </c>
      <c r="E10" s="231" t="s">
        <v>179</v>
      </c>
      <c r="F10" s="240" t="s">
        <v>181</v>
      </c>
      <c r="G10" s="231" t="s">
        <v>179</v>
      </c>
      <c r="H10" s="242" t="s">
        <v>181</v>
      </c>
      <c r="I10" s="230" t="s">
        <v>190</v>
      </c>
      <c r="J10" s="231" t="s">
        <v>190</v>
      </c>
      <c r="K10" s="230" t="s">
        <v>190</v>
      </c>
      <c r="L10" s="231" t="s">
        <v>190</v>
      </c>
      <c r="M10" s="230" t="s">
        <v>190</v>
      </c>
      <c r="N10" s="231" t="s">
        <v>190</v>
      </c>
      <c r="O10" s="232" t="s">
        <v>190</v>
      </c>
      <c r="P10" s="234" t="s">
        <v>179</v>
      </c>
      <c r="Q10" s="235" t="s">
        <v>179</v>
      </c>
      <c r="R10" s="241" t="s">
        <v>181</v>
      </c>
      <c r="S10" s="235" t="s">
        <v>179</v>
      </c>
      <c r="T10" s="240" t="s">
        <v>181</v>
      </c>
      <c r="U10" s="244" t="s">
        <v>181</v>
      </c>
      <c r="V10" s="242" t="s">
        <v>181</v>
      </c>
      <c r="W10" s="234" t="s">
        <v>179</v>
      </c>
      <c r="X10" s="235" t="s">
        <v>179</v>
      </c>
      <c r="Y10" s="234" t="s">
        <v>179</v>
      </c>
      <c r="Z10" s="235" t="s">
        <v>179</v>
      </c>
      <c r="AA10" s="234" t="s">
        <v>179</v>
      </c>
      <c r="AB10" s="244" t="s">
        <v>181</v>
      </c>
      <c r="AC10" s="242" t="s">
        <v>181</v>
      </c>
      <c r="AD10" s="234" t="s">
        <v>192</v>
      </c>
      <c r="AE10" s="235" t="s">
        <v>192</v>
      </c>
      <c r="AF10" s="234" t="s">
        <v>192</v>
      </c>
      <c r="AG10" s="235" t="s">
        <v>192</v>
      </c>
      <c r="AH10" s="234" t="s">
        <v>192</v>
      </c>
      <c r="AI10" s="235" t="s">
        <v>192</v>
      </c>
      <c r="AJ10" s="236" t="s">
        <v>179</v>
      </c>
      <c r="AK10" s="229"/>
    </row>
    <row r="11">
      <c r="A11" s="219" t="s">
        <v>193</v>
      </c>
      <c r="B11" s="245" t="s">
        <v>182</v>
      </c>
      <c r="C11" s="243" t="s">
        <v>181</v>
      </c>
      <c r="D11" s="230" t="s">
        <v>179</v>
      </c>
      <c r="E11" s="231" t="s">
        <v>182</v>
      </c>
      <c r="F11" s="240" t="s">
        <v>194</v>
      </c>
      <c r="G11" s="231" t="s">
        <v>182</v>
      </c>
      <c r="H11" s="242" t="s">
        <v>181</v>
      </c>
      <c r="I11" s="230" t="s">
        <v>179</v>
      </c>
      <c r="J11" s="243" t="s">
        <v>194</v>
      </c>
      <c r="K11" s="241" t="s">
        <v>194</v>
      </c>
      <c r="L11" s="246" t="s">
        <v>194</v>
      </c>
      <c r="M11" s="240" t="s">
        <v>194</v>
      </c>
      <c r="N11" s="247" t="s">
        <v>181</v>
      </c>
      <c r="O11" s="242" t="s">
        <v>181</v>
      </c>
      <c r="P11" s="233" t="s">
        <v>194</v>
      </c>
      <c r="Q11" s="243" t="s">
        <v>194</v>
      </c>
      <c r="R11" s="241" t="s">
        <v>194</v>
      </c>
      <c r="S11" s="246" t="s">
        <v>194</v>
      </c>
      <c r="T11" s="240" t="s">
        <v>194</v>
      </c>
      <c r="U11" s="244" t="s">
        <v>194</v>
      </c>
      <c r="V11" s="242" t="s">
        <v>181</v>
      </c>
      <c r="W11" s="233" t="s">
        <v>194</v>
      </c>
      <c r="X11" s="243" t="s">
        <v>194</v>
      </c>
      <c r="Y11" s="241" t="s">
        <v>194</v>
      </c>
      <c r="Z11" s="246" t="s">
        <v>194</v>
      </c>
      <c r="AA11" s="240" t="s">
        <v>194</v>
      </c>
      <c r="AB11" s="244" t="s">
        <v>181</v>
      </c>
      <c r="AC11" s="242" t="s">
        <v>181</v>
      </c>
      <c r="AD11" s="233" t="s">
        <v>187</v>
      </c>
      <c r="AE11" s="235" t="s">
        <v>182</v>
      </c>
      <c r="AF11" s="234" t="s">
        <v>179</v>
      </c>
      <c r="AG11" s="235" t="s">
        <v>182</v>
      </c>
      <c r="AH11" s="240" t="s">
        <v>194</v>
      </c>
      <c r="AI11" s="235" t="s">
        <v>182</v>
      </c>
      <c r="AJ11" s="236" t="s">
        <v>182</v>
      </c>
      <c r="AK11" s="229"/>
    </row>
    <row r="12">
      <c r="A12" s="219" t="s">
        <v>195</v>
      </c>
      <c r="B12" s="245" t="s">
        <v>182</v>
      </c>
      <c r="C12" s="243" t="s">
        <v>181</v>
      </c>
      <c r="D12" s="230" t="s">
        <v>179</v>
      </c>
      <c r="E12" s="231" t="s">
        <v>182</v>
      </c>
      <c r="F12" s="240" t="s">
        <v>194</v>
      </c>
      <c r="G12" s="231" t="s">
        <v>182</v>
      </c>
      <c r="H12" s="242" t="s">
        <v>181</v>
      </c>
      <c r="I12" s="230" t="s">
        <v>179</v>
      </c>
      <c r="J12" s="243" t="s">
        <v>194</v>
      </c>
      <c r="K12" s="241" t="s">
        <v>194</v>
      </c>
      <c r="L12" s="246" t="s">
        <v>194</v>
      </c>
      <c r="M12" s="240" t="s">
        <v>194</v>
      </c>
      <c r="N12" s="247" t="s">
        <v>181</v>
      </c>
      <c r="O12" s="242" t="s">
        <v>181</v>
      </c>
      <c r="P12" s="233" t="s">
        <v>194</v>
      </c>
      <c r="Q12" s="243" t="s">
        <v>194</v>
      </c>
      <c r="R12" s="241" t="s">
        <v>194</v>
      </c>
      <c r="S12" s="246" t="s">
        <v>194</v>
      </c>
      <c r="T12" s="240" t="s">
        <v>194</v>
      </c>
      <c r="U12" s="244" t="s">
        <v>194</v>
      </c>
      <c r="V12" s="242" t="s">
        <v>181</v>
      </c>
      <c r="W12" s="233" t="s">
        <v>194</v>
      </c>
      <c r="X12" s="243" t="s">
        <v>194</v>
      </c>
      <c r="Y12" s="241" t="s">
        <v>194</v>
      </c>
      <c r="Z12" s="246" t="s">
        <v>194</v>
      </c>
      <c r="AA12" s="240" t="s">
        <v>194</v>
      </c>
      <c r="AB12" s="244" t="s">
        <v>187</v>
      </c>
      <c r="AC12" s="242" t="s">
        <v>181</v>
      </c>
      <c r="AD12" s="233" t="s">
        <v>187</v>
      </c>
      <c r="AE12" s="235" t="s">
        <v>182</v>
      </c>
      <c r="AF12" s="234" t="s">
        <v>179</v>
      </c>
      <c r="AG12" s="235" t="s">
        <v>182</v>
      </c>
      <c r="AH12" s="240" t="s">
        <v>194</v>
      </c>
      <c r="AI12" s="235" t="s">
        <v>182</v>
      </c>
      <c r="AJ12" s="236" t="s">
        <v>182</v>
      </c>
      <c r="AK12" s="229"/>
    </row>
    <row r="13">
      <c r="A13" s="219" t="s">
        <v>196</v>
      </c>
      <c r="B13" s="237" t="s">
        <v>185</v>
      </c>
      <c r="C13" s="238" t="s">
        <v>185</v>
      </c>
      <c r="D13" s="237" t="s">
        <v>185</v>
      </c>
      <c r="E13" s="238" t="s">
        <v>185</v>
      </c>
      <c r="F13" s="237" t="s">
        <v>185</v>
      </c>
      <c r="G13" s="238" t="s">
        <v>185</v>
      </c>
      <c r="H13" s="239" t="s">
        <v>185</v>
      </c>
      <c r="I13" s="237" t="s">
        <v>185</v>
      </c>
      <c r="J13" s="238" t="s">
        <v>185</v>
      </c>
      <c r="K13" s="237" t="s">
        <v>185</v>
      </c>
      <c r="L13" s="238" t="s">
        <v>185</v>
      </c>
      <c r="M13" s="237" t="s">
        <v>185</v>
      </c>
      <c r="N13" s="238" t="s">
        <v>185</v>
      </c>
      <c r="O13" s="239" t="s">
        <v>185</v>
      </c>
      <c r="P13" s="237" t="s">
        <v>185</v>
      </c>
      <c r="Q13" s="238" t="s">
        <v>185</v>
      </c>
      <c r="R13" s="237" t="s">
        <v>185</v>
      </c>
      <c r="S13" s="238" t="s">
        <v>185</v>
      </c>
      <c r="T13" s="237" t="s">
        <v>185</v>
      </c>
      <c r="U13" s="238" t="s">
        <v>185</v>
      </c>
      <c r="V13" s="239" t="s">
        <v>185</v>
      </c>
      <c r="W13" s="237" t="s">
        <v>185</v>
      </c>
      <c r="X13" s="238" t="s">
        <v>185</v>
      </c>
      <c r="Y13" s="237" t="s">
        <v>185</v>
      </c>
      <c r="Z13" s="238" t="s">
        <v>185</v>
      </c>
      <c r="AA13" s="237" t="s">
        <v>185</v>
      </c>
      <c r="AB13" s="238" t="s">
        <v>185</v>
      </c>
      <c r="AC13" s="239" t="s">
        <v>185</v>
      </c>
      <c r="AD13" s="237" t="s">
        <v>185</v>
      </c>
      <c r="AE13" s="238" t="s">
        <v>185</v>
      </c>
      <c r="AF13" s="237" t="s">
        <v>185</v>
      </c>
      <c r="AG13" s="238" t="s">
        <v>185</v>
      </c>
      <c r="AH13" s="237" t="s">
        <v>185</v>
      </c>
      <c r="AI13" s="238" t="s">
        <v>185</v>
      </c>
      <c r="AJ13" s="239" t="s">
        <v>185</v>
      </c>
      <c r="AK13" s="229"/>
    </row>
    <row r="14">
      <c r="A14" s="219" t="s">
        <v>197</v>
      </c>
      <c r="B14" s="245" t="s">
        <v>182</v>
      </c>
      <c r="C14" s="243" t="s">
        <v>187</v>
      </c>
      <c r="D14" s="230" t="s">
        <v>182</v>
      </c>
      <c r="E14" s="231" t="s">
        <v>182</v>
      </c>
      <c r="F14" s="230" t="s">
        <v>182</v>
      </c>
      <c r="G14" s="244" t="s">
        <v>187</v>
      </c>
      <c r="H14" s="242" t="s">
        <v>181</v>
      </c>
      <c r="I14" s="230" t="s">
        <v>179</v>
      </c>
      <c r="J14" s="248" t="s">
        <v>182</v>
      </c>
      <c r="K14" s="245" t="s">
        <v>182</v>
      </c>
      <c r="L14" s="248" t="s">
        <v>182</v>
      </c>
      <c r="M14" s="245" t="s">
        <v>182</v>
      </c>
      <c r="N14" s="244" t="s">
        <v>181</v>
      </c>
      <c r="O14" s="242" t="s">
        <v>187</v>
      </c>
      <c r="P14" s="234" t="s">
        <v>182</v>
      </c>
      <c r="Q14" s="235" t="s">
        <v>182</v>
      </c>
      <c r="R14" s="241" t="s">
        <v>187</v>
      </c>
      <c r="S14" s="235" t="s">
        <v>179</v>
      </c>
      <c r="T14" s="234" t="s">
        <v>179</v>
      </c>
      <c r="U14" s="244" t="s">
        <v>181</v>
      </c>
      <c r="V14" s="242" t="s">
        <v>187</v>
      </c>
      <c r="W14" s="234" t="s">
        <v>182</v>
      </c>
      <c r="X14" s="235" t="s">
        <v>182</v>
      </c>
      <c r="Y14" s="234" t="s">
        <v>182</v>
      </c>
      <c r="Z14" s="246" t="s">
        <v>187</v>
      </c>
      <c r="AA14" s="234" t="s">
        <v>182</v>
      </c>
      <c r="AB14" s="235" t="s">
        <v>182</v>
      </c>
      <c r="AC14" s="242" t="s">
        <v>187</v>
      </c>
      <c r="AD14" s="234" t="s">
        <v>179</v>
      </c>
      <c r="AE14" s="235" t="s">
        <v>179</v>
      </c>
      <c r="AF14" s="234" t="s">
        <v>179</v>
      </c>
      <c r="AG14" s="235" t="s">
        <v>182</v>
      </c>
      <c r="AH14" s="234" t="s">
        <v>179</v>
      </c>
      <c r="AI14" s="235" t="s">
        <v>182</v>
      </c>
      <c r="AJ14" s="236" t="s">
        <v>182</v>
      </c>
      <c r="AK14" s="229"/>
    </row>
    <row r="15">
      <c r="A15" s="219" t="s">
        <v>198</v>
      </c>
      <c r="B15" s="245" t="s">
        <v>182</v>
      </c>
      <c r="C15" s="243" t="s">
        <v>187</v>
      </c>
      <c r="D15" s="241" t="s">
        <v>187</v>
      </c>
      <c r="E15" s="246" t="s">
        <v>187</v>
      </c>
      <c r="F15" s="230" t="s">
        <v>182</v>
      </c>
      <c r="G15" s="244" t="s">
        <v>187</v>
      </c>
      <c r="H15" s="232" t="s">
        <v>179</v>
      </c>
      <c r="I15" s="230" t="s">
        <v>179</v>
      </c>
      <c r="J15" s="248" t="s">
        <v>182</v>
      </c>
      <c r="K15" s="245" t="s">
        <v>182</v>
      </c>
      <c r="L15" s="248" t="s">
        <v>182</v>
      </c>
      <c r="M15" s="245" t="s">
        <v>182</v>
      </c>
      <c r="N15" s="231" t="s">
        <v>179</v>
      </c>
      <c r="O15" s="232" t="s">
        <v>179</v>
      </c>
      <c r="P15" s="234" t="s">
        <v>182</v>
      </c>
      <c r="Q15" s="235" t="s">
        <v>182</v>
      </c>
      <c r="R15" s="241" t="s">
        <v>187</v>
      </c>
      <c r="S15" s="235" t="s">
        <v>179</v>
      </c>
      <c r="T15" s="234" t="s">
        <v>179</v>
      </c>
      <c r="U15" s="235" t="s">
        <v>179</v>
      </c>
      <c r="V15" s="232" t="s">
        <v>179</v>
      </c>
      <c r="W15" s="234" t="s">
        <v>182</v>
      </c>
      <c r="X15" s="235" t="s">
        <v>182</v>
      </c>
      <c r="Y15" s="234" t="s">
        <v>182</v>
      </c>
      <c r="Z15" s="246" t="s">
        <v>187</v>
      </c>
      <c r="AA15" s="234" t="s">
        <v>182</v>
      </c>
      <c r="AB15" s="235" t="s">
        <v>182</v>
      </c>
      <c r="AC15" s="232" t="s">
        <v>179</v>
      </c>
      <c r="AD15" s="234" t="s">
        <v>179</v>
      </c>
      <c r="AE15" s="235" t="s">
        <v>179</v>
      </c>
      <c r="AF15" s="234" t="s">
        <v>179</v>
      </c>
      <c r="AG15" s="235" t="s">
        <v>182</v>
      </c>
      <c r="AH15" s="234" t="s">
        <v>179</v>
      </c>
      <c r="AI15" s="235" t="s">
        <v>182</v>
      </c>
      <c r="AJ15" s="236" t="s">
        <v>182</v>
      </c>
      <c r="AK15" s="229"/>
    </row>
    <row r="16">
      <c r="A16" s="219" t="s">
        <v>199</v>
      </c>
      <c r="B16" s="249" t="s">
        <v>187</v>
      </c>
      <c r="C16" s="250" t="s">
        <v>179</v>
      </c>
      <c r="D16" s="251" t="s">
        <v>179</v>
      </c>
      <c r="E16" s="250" t="s">
        <v>179</v>
      </c>
      <c r="F16" s="251" t="s">
        <v>179</v>
      </c>
      <c r="G16" s="250" t="s">
        <v>179</v>
      </c>
      <c r="H16" s="252" t="s">
        <v>179</v>
      </c>
      <c r="I16" s="251" t="s">
        <v>179</v>
      </c>
      <c r="J16" s="250" t="s">
        <v>179</v>
      </c>
      <c r="K16" s="251" t="s">
        <v>179</v>
      </c>
      <c r="L16" s="250" t="s">
        <v>179</v>
      </c>
      <c r="M16" s="251" t="s">
        <v>179</v>
      </c>
      <c r="N16" s="250" t="s">
        <v>179</v>
      </c>
      <c r="O16" s="252" t="s">
        <v>179</v>
      </c>
      <c r="P16" s="253" t="s">
        <v>182</v>
      </c>
      <c r="Q16" s="254" t="s">
        <v>187</v>
      </c>
      <c r="R16" s="253" t="s">
        <v>179</v>
      </c>
      <c r="S16" s="255" t="s">
        <v>179</v>
      </c>
      <c r="T16" s="253" t="s">
        <v>179</v>
      </c>
      <c r="U16" s="255" t="s">
        <v>179</v>
      </c>
      <c r="V16" s="252" t="s">
        <v>179</v>
      </c>
      <c r="W16" s="253" t="s">
        <v>200</v>
      </c>
      <c r="X16" s="255" t="s">
        <v>200</v>
      </c>
      <c r="Y16" s="253" t="s">
        <v>200</v>
      </c>
      <c r="Z16" s="255" t="s">
        <v>200</v>
      </c>
      <c r="AA16" s="253" t="s">
        <v>200</v>
      </c>
      <c r="AB16" s="255" t="s">
        <v>200</v>
      </c>
      <c r="AC16" s="252" t="s">
        <v>179</v>
      </c>
      <c r="AD16" s="253" t="s">
        <v>179</v>
      </c>
      <c r="AE16" s="255" t="s">
        <v>179</v>
      </c>
      <c r="AF16" s="253" t="s">
        <v>179</v>
      </c>
      <c r="AG16" s="255" t="s">
        <v>179</v>
      </c>
      <c r="AH16" s="253" t="s">
        <v>179</v>
      </c>
      <c r="AI16" s="255" t="s">
        <v>179</v>
      </c>
      <c r="AJ16" s="256" t="s">
        <v>179</v>
      </c>
      <c r="AK16" s="229"/>
    </row>
    <row r="17">
      <c r="A17" s="257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</row>
    <row r="18">
      <c r="A18" s="259"/>
      <c r="B18" s="259"/>
      <c r="AG18" s="259"/>
      <c r="AH18" s="259"/>
      <c r="AI18" s="259"/>
      <c r="AJ18" s="259"/>
      <c r="AK18" s="229"/>
    </row>
    <row r="19">
      <c r="A19" s="259"/>
      <c r="B19" s="260" t="s">
        <v>201</v>
      </c>
      <c r="AG19" s="259"/>
      <c r="AH19" s="259"/>
      <c r="AI19" s="259"/>
      <c r="AJ19" s="259"/>
      <c r="AK19" s="229"/>
    </row>
    <row r="20">
      <c r="A20" s="259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29"/>
    </row>
    <row r="21">
      <c r="A21" s="259"/>
      <c r="B21" s="261" t="s">
        <v>202</v>
      </c>
      <c r="C21" s="262"/>
      <c r="D21" s="262"/>
      <c r="E21" s="262"/>
      <c r="F21" s="262"/>
      <c r="G21" s="262"/>
      <c r="H21" s="263"/>
      <c r="I21" s="259"/>
      <c r="J21" s="261" t="s">
        <v>203</v>
      </c>
      <c r="K21" s="262"/>
      <c r="L21" s="262"/>
      <c r="M21" s="262"/>
      <c r="N21" s="262"/>
      <c r="O21" s="262"/>
      <c r="P21" s="263"/>
      <c r="Q21" s="259"/>
      <c r="R21" s="261" t="s">
        <v>204</v>
      </c>
      <c r="S21" s="262"/>
      <c r="T21" s="262"/>
      <c r="U21" s="262"/>
      <c r="V21" s="262"/>
      <c r="W21" s="262"/>
      <c r="X21" s="263"/>
      <c r="Y21" s="259"/>
      <c r="Z21" s="261" t="s">
        <v>205</v>
      </c>
      <c r="AA21" s="262"/>
      <c r="AB21" s="262"/>
      <c r="AC21" s="262"/>
      <c r="AD21" s="262"/>
      <c r="AE21" s="262"/>
      <c r="AF21" s="263"/>
      <c r="AG21" s="264"/>
      <c r="AH21" s="264"/>
      <c r="AI21" s="264"/>
      <c r="AJ21" s="264"/>
      <c r="AK21" s="229"/>
    </row>
    <row r="22">
      <c r="A22" s="259"/>
      <c r="B22" s="265" t="s">
        <v>206</v>
      </c>
      <c r="C22" s="265" t="s">
        <v>207</v>
      </c>
      <c r="D22" s="265" t="s">
        <v>208</v>
      </c>
      <c r="E22" s="265" t="s">
        <v>209</v>
      </c>
      <c r="F22" s="265" t="s">
        <v>210</v>
      </c>
      <c r="G22" s="265" t="s">
        <v>211</v>
      </c>
      <c r="H22" s="265" t="s">
        <v>212</v>
      </c>
      <c r="I22" s="259"/>
      <c r="J22" s="265" t="s">
        <v>206</v>
      </c>
      <c r="K22" s="265" t="s">
        <v>207</v>
      </c>
      <c r="L22" s="265" t="s">
        <v>208</v>
      </c>
      <c r="M22" s="265" t="s">
        <v>209</v>
      </c>
      <c r="N22" s="265" t="s">
        <v>210</v>
      </c>
      <c r="O22" s="265" t="s">
        <v>211</v>
      </c>
      <c r="P22" s="265" t="s">
        <v>212</v>
      </c>
      <c r="Q22" s="259"/>
      <c r="R22" s="265" t="s">
        <v>206</v>
      </c>
      <c r="S22" s="265" t="s">
        <v>207</v>
      </c>
      <c r="T22" s="265" t="s">
        <v>208</v>
      </c>
      <c r="U22" s="265" t="s">
        <v>209</v>
      </c>
      <c r="V22" s="265" t="s">
        <v>210</v>
      </c>
      <c r="W22" s="265" t="s">
        <v>211</v>
      </c>
      <c r="X22" s="265" t="s">
        <v>212</v>
      </c>
      <c r="Y22" s="259"/>
      <c r="Z22" s="265" t="s">
        <v>206</v>
      </c>
      <c r="AA22" s="265" t="s">
        <v>207</v>
      </c>
      <c r="AB22" s="265" t="s">
        <v>208</v>
      </c>
      <c r="AC22" s="265" t="s">
        <v>209</v>
      </c>
      <c r="AD22" s="265" t="s">
        <v>210</v>
      </c>
      <c r="AE22" s="265" t="s">
        <v>211</v>
      </c>
      <c r="AF22" s="265" t="s">
        <v>212</v>
      </c>
      <c r="AG22" s="264"/>
      <c r="AH22" s="264"/>
      <c r="AI22" s="264"/>
      <c r="AJ22" s="264"/>
      <c r="AK22" s="229"/>
    </row>
    <row r="23">
      <c r="A23" s="259"/>
      <c r="B23" s="266">
        <v>1.0</v>
      </c>
      <c r="C23" s="266">
        <v>2.0</v>
      </c>
      <c r="D23" s="266">
        <v>3.0</v>
      </c>
      <c r="E23" s="266">
        <v>4.0</v>
      </c>
      <c r="F23" s="266">
        <v>5.0</v>
      </c>
      <c r="G23" s="267">
        <v>6.0</v>
      </c>
      <c r="H23" s="267">
        <v>7.0</v>
      </c>
      <c r="I23" s="259"/>
      <c r="J23" s="268"/>
      <c r="K23" s="268"/>
      <c r="L23" s="269">
        <v>1.0</v>
      </c>
      <c r="M23" s="269">
        <v>2.0</v>
      </c>
      <c r="N23" s="269">
        <v>3.0</v>
      </c>
      <c r="O23" s="267">
        <v>4.0</v>
      </c>
      <c r="P23" s="267">
        <v>5.0</v>
      </c>
      <c r="Q23" s="270">
        <v>3.0</v>
      </c>
      <c r="R23" s="268"/>
      <c r="S23" s="268"/>
      <c r="T23" s="268"/>
      <c r="U23" s="268"/>
      <c r="V23" s="268"/>
      <c r="W23" s="267">
        <v>1.0</v>
      </c>
      <c r="X23" s="267">
        <v>2.0</v>
      </c>
      <c r="Y23" s="270">
        <v>7.0</v>
      </c>
      <c r="Z23" s="271">
        <v>1.0</v>
      </c>
      <c r="AA23" s="271">
        <v>2.0</v>
      </c>
      <c r="AB23" s="271">
        <v>3.0</v>
      </c>
      <c r="AC23" s="271">
        <v>4.0</v>
      </c>
      <c r="AD23" s="271">
        <v>5.0</v>
      </c>
      <c r="AE23" s="267">
        <v>6.0</v>
      </c>
      <c r="AF23" s="267">
        <v>7.0</v>
      </c>
      <c r="AG23" s="270">
        <v>12.0</v>
      </c>
      <c r="AH23" s="259"/>
      <c r="AI23" s="259"/>
      <c r="AJ23" s="259"/>
      <c r="AK23" s="229"/>
    </row>
    <row r="24">
      <c r="A24" s="259"/>
      <c r="B24" s="266">
        <v>8.0</v>
      </c>
      <c r="C24" s="266">
        <v>9.0</v>
      </c>
      <c r="D24" s="266">
        <v>10.0</v>
      </c>
      <c r="E24" s="267">
        <v>11.0</v>
      </c>
      <c r="F24" s="272">
        <v>12.0</v>
      </c>
      <c r="G24" s="267">
        <v>13.0</v>
      </c>
      <c r="H24" s="267">
        <v>14.0</v>
      </c>
      <c r="I24" s="273"/>
      <c r="J24" s="269">
        <v>6.0</v>
      </c>
      <c r="K24" s="269">
        <v>7.0</v>
      </c>
      <c r="L24" s="269">
        <v>8.0</v>
      </c>
      <c r="M24" s="269">
        <v>9.0</v>
      </c>
      <c r="N24" s="267">
        <v>10.0</v>
      </c>
      <c r="O24" s="267">
        <v>11.0</v>
      </c>
      <c r="P24" s="267">
        <v>12.0</v>
      </c>
      <c r="Q24" s="270">
        <v>4.0</v>
      </c>
      <c r="R24" s="267">
        <v>3.0</v>
      </c>
      <c r="S24" s="269">
        <v>4.0</v>
      </c>
      <c r="T24" s="269">
        <v>5.0</v>
      </c>
      <c r="U24" s="269">
        <v>6.0</v>
      </c>
      <c r="V24" s="274">
        <v>7.0</v>
      </c>
      <c r="W24" s="267">
        <v>8.0</v>
      </c>
      <c r="X24" s="267">
        <v>9.0</v>
      </c>
      <c r="Y24" s="270">
        <v>8.0</v>
      </c>
      <c r="Z24" s="267">
        <v>8.0</v>
      </c>
      <c r="AA24" s="271">
        <v>9.0</v>
      </c>
      <c r="AB24" s="271">
        <v>10.0</v>
      </c>
      <c r="AC24" s="271">
        <v>11.0</v>
      </c>
      <c r="AD24" s="271">
        <v>12.0</v>
      </c>
      <c r="AE24" s="267">
        <v>13.0</v>
      </c>
      <c r="AF24" s="267">
        <v>14.0</v>
      </c>
      <c r="AG24" s="270">
        <v>13.0</v>
      </c>
      <c r="AH24" s="259"/>
      <c r="AI24" s="259"/>
      <c r="AJ24" s="259"/>
      <c r="AK24" s="229"/>
    </row>
    <row r="25">
      <c r="A25" s="259"/>
      <c r="B25" s="269">
        <v>15.0</v>
      </c>
      <c r="C25" s="269">
        <v>16.0</v>
      </c>
      <c r="D25" s="269">
        <v>17.0</v>
      </c>
      <c r="E25" s="269">
        <v>18.0</v>
      </c>
      <c r="F25" s="269">
        <v>19.0</v>
      </c>
      <c r="G25" s="267">
        <v>20.0</v>
      </c>
      <c r="H25" s="267">
        <v>21.0</v>
      </c>
      <c r="I25" s="270">
        <v>1.0</v>
      </c>
      <c r="J25" s="269">
        <v>13.0</v>
      </c>
      <c r="K25" s="269">
        <v>14.0</v>
      </c>
      <c r="L25" s="275">
        <v>15.0</v>
      </c>
      <c r="M25" s="269">
        <v>16.0</v>
      </c>
      <c r="N25" s="269">
        <v>17.0</v>
      </c>
      <c r="O25" s="267">
        <v>18.0</v>
      </c>
      <c r="P25" s="267">
        <v>19.0</v>
      </c>
      <c r="Q25" s="270">
        <v>5.0</v>
      </c>
      <c r="R25" s="269">
        <v>10.0</v>
      </c>
      <c r="S25" s="269">
        <v>11.0</v>
      </c>
      <c r="T25" s="269">
        <v>12.0</v>
      </c>
      <c r="U25" s="269">
        <v>13.0</v>
      </c>
      <c r="V25" s="269">
        <v>14.0</v>
      </c>
      <c r="W25" s="267">
        <v>15.0</v>
      </c>
      <c r="X25" s="267">
        <v>16.0</v>
      </c>
      <c r="Y25" s="270">
        <v>9.0</v>
      </c>
      <c r="Z25" s="269">
        <v>15.0</v>
      </c>
      <c r="AA25" s="269">
        <v>16.0</v>
      </c>
      <c r="AB25" s="269">
        <v>17.0</v>
      </c>
      <c r="AC25" s="269">
        <v>18.0</v>
      </c>
      <c r="AD25" s="275">
        <v>19.0</v>
      </c>
      <c r="AE25" s="267">
        <v>20.0</v>
      </c>
      <c r="AF25" s="267">
        <v>21.0</v>
      </c>
      <c r="AG25" s="270">
        <v>14.0</v>
      </c>
      <c r="AH25" s="259"/>
      <c r="AI25" s="259"/>
      <c r="AJ25" s="259"/>
      <c r="AK25" s="229"/>
    </row>
    <row r="26">
      <c r="A26" s="259"/>
      <c r="B26" s="269">
        <v>22.0</v>
      </c>
      <c r="C26" s="269">
        <v>23.0</v>
      </c>
      <c r="D26" s="267">
        <v>24.0</v>
      </c>
      <c r="E26" s="269">
        <v>25.0</v>
      </c>
      <c r="F26" s="269">
        <v>26.0</v>
      </c>
      <c r="G26" s="267">
        <v>27.0</v>
      </c>
      <c r="H26" s="267">
        <v>28.0</v>
      </c>
      <c r="I26" s="270">
        <v>2.0</v>
      </c>
      <c r="J26" s="269">
        <v>20.0</v>
      </c>
      <c r="K26" s="269">
        <v>21.0</v>
      </c>
      <c r="L26" s="269">
        <v>22.0</v>
      </c>
      <c r="M26" s="269">
        <v>23.0</v>
      </c>
      <c r="N26" s="269">
        <v>24.0</v>
      </c>
      <c r="O26" s="267">
        <v>25.0</v>
      </c>
      <c r="P26" s="267">
        <v>26.0</v>
      </c>
      <c r="Q26" s="270">
        <v>6.0</v>
      </c>
      <c r="R26" s="269">
        <v>17.0</v>
      </c>
      <c r="S26" s="269">
        <v>18.0</v>
      </c>
      <c r="T26" s="276">
        <v>19.0</v>
      </c>
      <c r="U26" s="276">
        <v>20.0</v>
      </c>
      <c r="V26" s="276">
        <v>21.0</v>
      </c>
      <c r="W26" s="267">
        <v>22.0</v>
      </c>
      <c r="X26" s="267">
        <v>23.0</v>
      </c>
      <c r="Y26" s="270">
        <v>10.0</v>
      </c>
      <c r="Z26" s="267">
        <v>22.0</v>
      </c>
      <c r="AA26" s="267">
        <v>23.0</v>
      </c>
      <c r="AB26" s="267">
        <v>24.0</v>
      </c>
      <c r="AC26" s="267">
        <v>25.0</v>
      </c>
      <c r="AD26" s="267">
        <v>26.0</v>
      </c>
      <c r="AE26" s="267">
        <v>27.0</v>
      </c>
      <c r="AF26" s="267">
        <v>28.0</v>
      </c>
      <c r="AG26" s="270" t="s">
        <v>213</v>
      </c>
      <c r="AH26" s="259"/>
      <c r="AI26" s="259"/>
      <c r="AJ26" s="259"/>
      <c r="AK26" s="229"/>
    </row>
    <row r="27">
      <c r="A27" s="259"/>
      <c r="B27" s="269">
        <v>29.0</v>
      </c>
      <c r="C27" s="269">
        <v>30.0</v>
      </c>
      <c r="D27" s="268"/>
      <c r="E27" s="268"/>
      <c r="F27" s="268"/>
      <c r="G27" s="277"/>
      <c r="H27" s="277"/>
      <c r="I27" s="270">
        <v>3.0</v>
      </c>
      <c r="J27" s="269">
        <v>27.0</v>
      </c>
      <c r="K27" s="269">
        <v>28.0</v>
      </c>
      <c r="L27" s="269">
        <v>29.0</v>
      </c>
      <c r="M27" s="269">
        <v>30.0</v>
      </c>
      <c r="N27" s="269">
        <v>31.0</v>
      </c>
      <c r="O27" s="277"/>
      <c r="P27" s="277"/>
      <c r="Q27" s="270">
        <v>7.0</v>
      </c>
      <c r="R27" s="269">
        <v>24.0</v>
      </c>
      <c r="S27" s="278">
        <v>25.0</v>
      </c>
      <c r="T27" s="269">
        <v>26.0</v>
      </c>
      <c r="U27" s="269">
        <v>27.0</v>
      </c>
      <c r="V27" s="279">
        <v>28.0</v>
      </c>
      <c r="W27" s="280">
        <v>29.0</v>
      </c>
      <c r="X27" s="267">
        <v>30.0</v>
      </c>
      <c r="Y27" s="270">
        <v>11.0</v>
      </c>
      <c r="Z27" s="267">
        <v>29.0</v>
      </c>
      <c r="AA27" s="267">
        <v>30.0</v>
      </c>
      <c r="AB27" s="267">
        <v>31.0</v>
      </c>
      <c r="AC27" s="277"/>
      <c r="AD27" s="277"/>
      <c r="AE27" s="277"/>
      <c r="AF27" s="277"/>
      <c r="AG27" s="270" t="s">
        <v>213</v>
      </c>
      <c r="AH27" s="259"/>
      <c r="AI27" s="259"/>
      <c r="AJ27" s="259"/>
      <c r="AK27" s="229"/>
    </row>
    <row r="28">
      <c r="A28" s="259"/>
      <c r="B28" s="281">
        <v>3.0</v>
      </c>
      <c r="C28" s="281">
        <v>3.0</v>
      </c>
      <c r="D28" s="281">
        <v>1.0</v>
      </c>
      <c r="E28" s="281">
        <v>2.0</v>
      </c>
      <c r="F28" s="281">
        <v>3.0</v>
      </c>
      <c r="G28" s="259"/>
      <c r="H28" s="259"/>
      <c r="I28" s="273"/>
      <c r="J28" s="281">
        <v>4.0</v>
      </c>
      <c r="K28" s="281">
        <v>4.0</v>
      </c>
      <c r="L28" s="281">
        <v>5.0</v>
      </c>
      <c r="M28" s="281">
        <v>5.0</v>
      </c>
      <c r="N28" s="281">
        <v>4.0</v>
      </c>
      <c r="O28" s="259"/>
      <c r="P28" s="259"/>
      <c r="Q28" s="273"/>
      <c r="R28" s="281">
        <v>4.0</v>
      </c>
      <c r="S28" s="281">
        <v>4.0</v>
      </c>
      <c r="T28" s="281">
        <v>4.0</v>
      </c>
      <c r="U28" s="281">
        <v>4.0</v>
      </c>
      <c r="V28" s="281">
        <v>3.0</v>
      </c>
      <c r="W28" s="259"/>
      <c r="X28" s="259"/>
      <c r="Y28" s="273"/>
      <c r="Z28" s="281">
        <v>2.0</v>
      </c>
      <c r="AA28" s="281">
        <v>3.0</v>
      </c>
      <c r="AB28" s="281">
        <v>3.0</v>
      </c>
      <c r="AC28" s="281">
        <v>3.0</v>
      </c>
      <c r="AD28" s="281">
        <v>3.0</v>
      </c>
      <c r="AE28" s="259"/>
      <c r="AF28" s="259"/>
      <c r="AG28" s="273"/>
      <c r="AH28" s="259"/>
      <c r="AI28" s="259"/>
      <c r="AJ28" s="259"/>
      <c r="AK28" s="229"/>
    </row>
    <row r="29">
      <c r="A29" s="281" t="s">
        <v>214</v>
      </c>
      <c r="B29" s="281">
        <f t="shared" ref="B29:F29" si="1">B28</f>
        <v>3</v>
      </c>
      <c r="C29" s="281">
        <f t="shared" si="1"/>
        <v>3</v>
      </c>
      <c r="D29" s="281">
        <f t="shared" si="1"/>
        <v>1</v>
      </c>
      <c r="E29" s="281">
        <f t="shared" si="1"/>
        <v>2</v>
      </c>
      <c r="F29" s="281">
        <f t="shared" si="1"/>
        <v>3</v>
      </c>
      <c r="G29" s="273"/>
      <c r="H29" s="273"/>
      <c r="I29" s="273"/>
      <c r="J29" s="281">
        <f t="shared" ref="J29:N29" si="2">B29+J28</f>
        <v>7</v>
      </c>
      <c r="K29" s="281">
        <f t="shared" si="2"/>
        <v>7</v>
      </c>
      <c r="L29" s="281">
        <f t="shared" si="2"/>
        <v>6</v>
      </c>
      <c r="M29" s="281">
        <f t="shared" si="2"/>
        <v>7</v>
      </c>
      <c r="N29" s="281">
        <f t="shared" si="2"/>
        <v>7</v>
      </c>
      <c r="O29" s="273"/>
      <c r="P29" s="273"/>
      <c r="Q29" s="273"/>
      <c r="R29" s="281">
        <f t="shared" ref="R29:V29" si="3">J29+R28</f>
        <v>11</v>
      </c>
      <c r="S29" s="281">
        <f t="shared" si="3"/>
        <v>11</v>
      </c>
      <c r="T29" s="281">
        <f t="shared" si="3"/>
        <v>10</v>
      </c>
      <c r="U29" s="281">
        <f t="shared" si="3"/>
        <v>11</v>
      </c>
      <c r="V29" s="281">
        <f t="shared" si="3"/>
        <v>10</v>
      </c>
      <c r="W29" s="273"/>
      <c r="X29" s="273"/>
      <c r="Y29" s="273"/>
      <c r="Z29" s="281">
        <f t="shared" ref="Z29:AD29" si="4">R29+Z28</f>
        <v>13</v>
      </c>
      <c r="AA29" s="281">
        <f t="shared" si="4"/>
        <v>14</v>
      </c>
      <c r="AB29" s="281">
        <f t="shared" si="4"/>
        <v>13</v>
      </c>
      <c r="AC29" s="281">
        <f t="shared" si="4"/>
        <v>14</v>
      </c>
      <c r="AD29" s="281">
        <f t="shared" si="4"/>
        <v>13</v>
      </c>
      <c r="AE29" s="273"/>
      <c r="AF29" s="273"/>
      <c r="AG29" s="259"/>
      <c r="AH29" s="259"/>
      <c r="AI29" s="259"/>
      <c r="AJ29" s="259"/>
      <c r="AK29" s="229"/>
    </row>
    <row r="30">
      <c r="A30" s="259"/>
      <c r="B30" s="259"/>
      <c r="C30" s="259"/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73"/>
      <c r="AA30" s="273"/>
      <c r="AB30" s="273"/>
      <c r="AC30" s="273"/>
      <c r="AD30" s="273"/>
      <c r="AE30" s="259"/>
      <c r="AF30" s="259"/>
      <c r="AG30" s="259"/>
      <c r="AH30" s="259"/>
      <c r="AI30" s="259"/>
      <c r="AJ30" s="259"/>
      <c r="AK30" s="229"/>
    </row>
    <row r="31">
      <c r="A31" s="259"/>
      <c r="B31" s="261" t="s">
        <v>215</v>
      </c>
      <c r="C31" s="262"/>
      <c r="D31" s="262"/>
      <c r="E31" s="262"/>
      <c r="F31" s="262"/>
      <c r="G31" s="262"/>
      <c r="H31" s="263"/>
      <c r="I31" s="259"/>
      <c r="J31" s="261" t="s">
        <v>216</v>
      </c>
      <c r="K31" s="262"/>
      <c r="L31" s="262"/>
      <c r="M31" s="262"/>
      <c r="N31" s="262"/>
      <c r="O31" s="262"/>
      <c r="P31" s="263"/>
      <c r="Q31" s="259"/>
      <c r="R31" s="261" t="s">
        <v>217</v>
      </c>
      <c r="S31" s="262"/>
      <c r="T31" s="262"/>
      <c r="U31" s="262"/>
      <c r="V31" s="262"/>
      <c r="W31" s="262"/>
      <c r="X31" s="263"/>
      <c r="Y31" s="259"/>
      <c r="Z31" s="282" t="s">
        <v>218</v>
      </c>
      <c r="AA31" s="262"/>
      <c r="AB31" s="262"/>
      <c r="AC31" s="262"/>
      <c r="AD31" s="262"/>
      <c r="AE31" s="262"/>
      <c r="AF31" s="262"/>
      <c r="AG31" s="262"/>
      <c r="AH31" s="262"/>
      <c r="AI31" s="262"/>
      <c r="AJ31" s="263"/>
      <c r="AK31" s="229"/>
    </row>
    <row r="32">
      <c r="A32" s="259"/>
      <c r="B32" s="265" t="s">
        <v>206</v>
      </c>
      <c r="C32" s="265" t="s">
        <v>207</v>
      </c>
      <c r="D32" s="265" t="s">
        <v>208</v>
      </c>
      <c r="E32" s="265" t="s">
        <v>209</v>
      </c>
      <c r="F32" s="265" t="s">
        <v>210</v>
      </c>
      <c r="G32" s="265" t="s">
        <v>211</v>
      </c>
      <c r="H32" s="265" t="s">
        <v>212</v>
      </c>
      <c r="I32" s="259"/>
      <c r="J32" s="265" t="s">
        <v>206</v>
      </c>
      <c r="K32" s="265" t="s">
        <v>207</v>
      </c>
      <c r="L32" s="265" t="s">
        <v>208</v>
      </c>
      <c r="M32" s="265" t="s">
        <v>209</v>
      </c>
      <c r="N32" s="265" t="s">
        <v>210</v>
      </c>
      <c r="O32" s="265" t="s">
        <v>211</v>
      </c>
      <c r="P32" s="265" t="s">
        <v>212</v>
      </c>
      <c r="Q32" s="259"/>
      <c r="R32" s="265" t="s">
        <v>206</v>
      </c>
      <c r="S32" s="265" t="s">
        <v>207</v>
      </c>
      <c r="T32" s="265" t="s">
        <v>208</v>
      </c>
      <c r="U32" s="265" t="s">
        <v>209</v>
      </c>
      <c r="V32" s="265" t="s">
        <v>210</v>
      </c>
      <c r="W32" s="265" t="s">
        <v>211</v>
      </c>
      <c r="X32" s="265" t="s">
        <v>212</v>
      </c>
      <c r="Y32" s="259"/>
      <c r="Z32" s="283" t="s">
        <v>219</v>
      </c>
      <c r="AA32" s="262"/>
      <c r="AB32" s="262"/>
      <c r="AC32" s="262"/>
      <c r="AD32" s="262"/>
      <c r="AE32" s="262"/>
      <c r="AF32" s="262"/>
      <c r="AG32" s="262"/>
      <c r="AH32" s="262"/>
      <c r="AI32" s="262"/>
      <c r="AJ32" s="263"/>
      <c r="AK32" s="229"/>
    </row>
    <row r="33">
      <c r="A33" s="259"/>
      <c r="B33" s="277"/>
      <c r="C33" s="277"/>
      <c r="D33" s="277"/>
      <c r="E33" s="267">
        <v>1.0</v>
      </c>
      <c r="F33" s="267">
        <v>2.0</v>
      </c>
      <c r="G33" s="267">
        <v>3.0</v>
      </c>
      <c r="H33" s="267">
        <v>4.0</v>
      </c>
      <c r="I33" s="270" t="s">
        <v>213</v>
      </c>
      <c r="J33" s="268"/>
      <c r="K33" s="268"/>
      <c r="L33" s="268"/>
      <c r="M33" s="268"/>
      <c r="N33" s="268"/>
      <c r="O33" s="277"/>
      <c r="P33" s="267">
        <v>1.0</v>
      </c>
      <c r="Q33" s="270">
        <f>I37</f>
        <v>18</v>
      </c>
      <c r="R33" s="268"/>
      <c r="S33" s="268"/>
      <c r="T33" s="268"/>
      <c r="U33" s="268"/>
      <c r="V33" s="268"/>
      <c r="W33" s="277"/>
      <c r="X33" s="267">
        <v>1.0</v>
      </c>
      <c r="Y33" s="270">
        <f>Q37</f>
        <v>22</v>
      </c>
      <c r="Z33" s="284" t="s">
        <v>220</v>
      </c>
      <c r="AA33" s="262"/>
      <c r="AB33" s="262"/>
      <c r="AC33" s="262"/>
      <c r="AD33" s="262"/>
      <c r="AE33" s="262"/>
      <c r="AF33" s="262"/>
      <c r="AG33" s="262"/>
      <c r="AH33" s="262"/>
      <c r="AI33" s="262"/>
      <c r="AJ33" s="263"/>
      <c r="AK33" s="229"/>
    </row>
    <row r="34">
      <c r="A34" s="259"/>
      <c r="B34" s="267">
        <v>5.0</v>
      </c>
      <c r="C34" s="267">
        <v>6.0</v>
      </c>
      <c r="D34" s="267">
        <v>7.0</v>
      </c>
      <c r="E34" s="269">
        <v>8.0</v>
      </c>
      <c r="F34" s="269">
        <v>9.0</v>
      </c>
      <c r="G34" s="267">
        <v>10.0</v>
      </c>
      <c r="H34" s="267">
        <v>11.0</v>
      </c>
      <c r="I34" s="270">
        <v>15.0</v>
      </c>
      <c r="J34" s="269">
        <v>2.0</v>
      </c>
      <c r="K34" s="269">
        <v>3.0</v>
      </c>
      <c r="L34" s="269">
        <v>4.0</v>
      </c>
      <c r="M34" s="269">
        <v>5.0</v>
      </c>
      <c r="N34" s="269">
        <v>6.0</v>
      </c>
      <c r="O34" s="267">
        <v>7.0</v>
      </c>
      <c r="P34" s="267">
        <v>8.0</v>
      </c>
      <c r="Q34" s="270">
        <f t="shared" ref="Q34:Q37" si="5">Q33+1</f>
        <v>19</v>
      </c>
      <c r="R34" s="269">
        <v>2.0</v>
      </c>
      <c r="S34" s="269">
        <v>3.0</v>
      </c>
      <c r="T34" s="269">
        <v>4.0</v>
      </c>
      <c r="U34" s="269">
        <v>5.0</v>
      </c>
      <c r="V34" s="279">
        <v>6.0</v>
      </c>
      <c r="W34" s="267">
        <v>7.0</v>
      </c>
      <c r="X34" s="267">
        <v>8.0</v>
      </c>
      <c r="Y34" s="270">
        <f t="shared" ref="Y34:Y37" si="6">Y33+1</f>
        <v>23</v>
      </c>
      <c r="Z34" s="285" t="s">
        <v>221</v>
      </c>
      <c r="AA34" s="262"/>
      <c r="AB34" s="262"/>
      <c r="AC34" s="262"/>
      <c r="AD34" s="262"/>
      <c r="AE34" s="262"/>
      <c r="AF34" s="262"/>
      <c r="AG34" s="262"/>
      <c r="AH34" s="262"/>
      <c r="AI34" s="262"/>
      <c r="AJ34" s="263"/>
      <c r="AK34" s="229"/>
    </row>
    <row r="35">
      <c r="A35" s="259"/>
      <c r="B35" s="269">
        <v>12.0</v>
      </c>
      <c r="C35" s="269">
        <v>13.0</v>
      </c>
      <c r="D35" s="269">
        <v>14.0</v>
      </c>
      <c r="E35" s="269">
        <v>15.0</v>
      </c>
      <c r="F35" s="269">
        <v>16.0</v>
      </c>
      <c r="G35" s="267">
        <v>17.0</v>
      </c>
      <c r="H35" s="267">
        <v>18.0</v>
      </c>
      <c r="I35" s="270">
        <f t="shared" ref="I35:I37" si="7">I34+1</f>
        <v>16</v>
      </c>
      <c r="J35" s="275">
        <v>9.0</v>
      </c>
      <c r="K35" s="269">
        <v>10.0</v>
      </c>
      <c r="L35" s="269">
        <v>11.0</v>
      </c>
      <c r="M35" s="269">
        <v>12.0</v>
      </c>
      <c r="N35" s="269">
        <v>13.0</v>
      </c>
      <c r="O35" s="267">
        <v>14.0</v>
      </c>
      <c r="P35" s="267">
        <v>15.0</v>
      </c>
      <c r="Q35" s="270">
        <f t="shared" si="5"/>
        <v>20</v>
      </c>
      <c r="R35" s="271">
        <v>9.0</v>
      </c>
      <c r="S35" s="271">
        <v>10.0</v>
      </c>
      <c r="T35" s="271">
        <v>11.0</v>
      </c>
      <c r="U35" s="271">
        <v>12.0</v>
      </c>
      <c r="V35" s="271">
        <v>13.0</v>
      </c>
      <c r="W35" s="267">
        <v>14.0</v>
      </c>
      <c r="X35" s="267">
        <v>15.0</v>
      </c>
      <c r="Y35" s="270">
        <f t="shared" si="6"/>
        <v>24</v>
      </c>
      <c r="Z35" s="286" t="s">
        <v>222</v>
      </c>
      <c r="AA35" s="262"/>
      <c r="AB35" s="262"/>
      <c r="AC35" s="262"/>
      <c r="AD35" s="262"/>
      <c r="AE35" s="262"/>
      <c r="AF35" s="262"/>
      <c r="AG35" s="262"/>
      <c r="AH35" s="262"/>
      <c r="AI35" s="262"/>
      <c r="AJ35" s="263"/>
      <c r="AK35" s="229"/>
    </row>
    <row r="36">
      <c r="A36" s="259"/>
      <c r="B36" s="269">
        <v>19.0</v>
      </c>
      <c r="C36" s="269">
        <v>20.0</v>
      </c>
      <c r="D36" s="269">
        <v>21.0</v>
      </c>
      <c r="E36" s="269">
        <v>22.0</v>
      </c>
      <c r="F36" s="269">
        <v>23.0</v>
      </c>
      <c r="G36" s="267">
        <v>24.0</v>
      </c>
      <c r="H36" s="267">
        <v>25.0</v>
      </c>
      <c r="I36" s="270">
        <f t="shared" si="7"/>
        <v>17</v>
      </c>
      <c r="J36" s="267">
        <v>16.0</v>
      </c>
      <c r="K36" s="274">
        <v>17.0</v>
      </c>
      <c r="L36" s="269">
        <v>18.0</v>
      </c>
      <c r="M36" s="269">
        <v>19.0</v>
      </c>
      <c r="N36" s="269">
        <v>20.0</v>
      </c>
      <c r="O36" s="267">
        <v>21.0</v>
      </c>
      <c r="P36" s="267">
        <v>22.0</v>
      </c>
      <c r="Q36" s="270">
        <f t="shared" si="5"/>
        <v>21</v>
      </c>
      <c r="R36" s="269">
        <v>16.0</v>
      </c>
      <c r="S36" s="269">
        <v>17.0</v>
      </c>
      <c r="T36" s="275">
        <v>18.0</v>
      </c>
      <c r="U36" s="269">
        <v>19.0</v>
      </c>
      <c r="V36" s="275">
        <v>20.0</v>
      </c>
      <c r="W36" s="267">
        <v>21.0</v>
      </c>
      <c r="X36" s="267">
        <v>22.0</v>
      </c>
      <c r="Y36" s="270">
        <f t="shared" si="6"/>
        <v>25</v>
      </c>
      <c r="Z36" s="287" t="s">
        <v>223</v>
      </c>
      <c r="AA36" s="288"/>
      <c r="AB36" s="288"/>
      <c r="AC36" s="288"/>
      <c r="AD36" s="288"/>
      <c r="AE36" s="288"/>
      <c r="AF36" s="288"/>
      <c r="AG36" s="288"/>
      <c r="AH36" s="288"/>
      <c r="AI36" s="288"/>
      <c r="AJ36" s="289"/>
      <c r="AK36" s="229"/>
    </row>
    <row r="37">
      <c r="A37" s="259"/>
      <c r="B37" s="269">
        <v>26.0</v>
      </c>
      <c r="C37" s="269">
        <v>27.0</v>
      </c>
      <c r="D37" s="269">
        <v>28.0</v>
      </c>
      <c r="E37" s="269">
        <v>29.0</v>
      </c>
      <c r="F37" s="269">
        <v>30.0</v>
      </c>
      <c r="G37" s="267">
        <v>31.0</v>
      </c>
      <c r="H37" s="277"/>
      <c r="I37" s="270">
        <f t="shared" si="7"/>
        <v>18</v>
      </c>
      <c r="J37" s="269">
        <v>23.0</v>
      </c>
      <c r="K37" s="269">
        <v>24.0</v>
      </c>
      <c r="L37" s="269">
        <v>25.0</v>
      </c>
      <c r="M37" s="269">
        <v>26.0</v>
      </c>
      <c r="N37" s="269">
        <v>27.0</v>
      </c>
      <c r="O37" s="267">
        <v>28.0</v>
      </c>
      <c r="P37" s="277"/>
      <c r="Q37" s="270">
        <f t="shared" si="5"/>
        <v>22</v>
      </c>
      <c r="R37" s="269">
        <v>23.0</v>
      </c>
      <c r="S37" s="269">
        <v>24.0</v>
      </c>
      <c r="T37" s="269">
        <v>25.0</v>
      </c>
      <c r="U37" s="269">
        <v>26.0</v>
      </c>
      <c r="V37" s="269">
        <v>27.0</v>
      </c>
      <c r="W37" s="267">
        <v>28.0</v>
      </c>
      <c r="X37" s="267">
        <v>29.0</v>
      </c>
      <c r="Y37" s="270">
        <f t="shared" si="6"/>
        <v>26</v>
      </c>
      <c r="Z37" s="79"/>
      <c r="AA37" s="129"/>
      <c r="AB37" s="129"/>
      <c r="AC37" s="129"/>
      <c r="AD37" s="129"/>
      <c r="AE37" s="129"/>
      <c r="AF37" s="129"/>
      <c r="AG37" s="129"/>
      <c r="AH37" s="129"/>
      <c r="AI37" s="129"/>
      <c r="AJ37" s="82"/>
      <c r="AK37" s="229"/>
    </row>
    <row r="38">
      <c r="A38" s="259"/>
      <c r="B38" s="273"/>
      <c r="C38" s="273"/>
      <c r="D38" s="273"/>
      <c r="E38" s="273"/>
      <c r="F38" s="273"/>
      <c r="G38" s="273"/>
      <c r="H38" s="273"/>
      <c r="I38" s="273"/>
      <c r="J38" s="273"/>
      <c r="K38" s="273"/>
      <c r="L38" s="273"/>
      <c r="M38" s="273"/>
      <c r="N38" s="273"/>
      <c r="O38" s="273"/>
      <c r="P38" s="273"/>
      <c r="Q38" s="273"/>
      <c r="R38" s="267">
        <v>30.0</v>
      </c>
      <c r="S38" s="267">
        <v>31.0</v>
      </c>
      <c r="T38" s="268"/>
      <c r="U38" s="268"/>
      <c r="V38" s="268"/>
      <c r="W38" s="277"/>
      <c r="X38" s="277"/>
      <c r="Y38" s="270" t="s">
        <v>213</v>
      </c>
      <c r="Z38" s="290" t="s">
        <v>224</v>
      </c>
      <c r="AA38" s="262"/>
      <c r="AB38" s="262"/>
      <c r="AC38" s="262"/>
      <c r="AD38" s="262"/>
      <c r="AE38" s="262"/>
      <c r="AF38" s="262"/>
      <c r="AG38" s="262"/>
      <c r="AH38" s="262"/>
      <c r="AI38" s="262"/>
      <c r="AJ38" s="263"/>
      <c r="AK38" s="229"/>
    </row>
    <row r="39">
      <c r="A39" s="259"/>
      <c r="B39" s="281">
        <v>3.0</v>
      </c>
      <c r="C39" s="281">
        <v>3.0</v>
      </c>
      <c r="D39" s="281">
        <v>3.0</v>
      </c>
      <c r="E39" s="281">
        <v>4.0</v>
      </c>
      <c r="F39" s="281">
        <v>4.0</v>
      </c>
      <c r="G39" s="273"/>
      <c r="H39" s="273"/>
      <c r="I39" s="273"/>
      <c r="J39" s="281">
        <v>4.0</v>
      </c>
      <c r="K39" s="281">
        <v>3.0</v>
      </c>
      <c r="L39" s="281">
        <v>4.0</v>
      </c>
      <c r="M39" s="281">
        <v>4.0</v>
      </c>
      <c r="N39" s="281">
        <v>4.0</v>
      </c>
      <c r="O39" s="273"/>
      <c r="P39" s="273"/>
      <c r="Q39" s="273"/>
      <c r="R39" s="281">
        <v>4.0</v>
      </c>
      <c r="S39" s="281">
        <v>4.0</v>
      </c>
      <c r="T39" s="281">
        <v>4.0</v>
      </c>
      <c r="U39" s="281">
        <v>4.0</v>
      </c>
      <c r="V39" s="281">
        <v>4.0</v>
      </c>
      <c r="W39" s="273"/>
      <c r="X39" s="273"/>
      <c r="Y39" s="273"/>
      <c r="Z39" s="291" t="s">
        <v>225</v>
      </c>
      <c r="AA39" s="262"/>
      <c r="AB39" s="262"/>
      <c r="AC39" s="262"/>
      <c r="AD39" s="262"/>
      <c r="AE39" s="262"/>
      <c r="AF39" s="262"/>
      <c r="AG39" s="262"/>
      <c r="AH39" s="262"/>
      <c r="AI39" s="262"/>
      <c r="AJ39" s="263"/>
      <c r="AK39" s="229"/>
    </row>
    <row r="40">
      <c r="A40" s="281" t="s">
        <v>214</v>
      </c>
      <c r="B40" s="281">
        <f t="shared" ref="B40:F40" si="8">Z29+B39</f>
        <v>16</v>
      </c>
      <c r="C40" s="281">
        <f t="shared" si="8"/>
        <v>17</v>
      </c>
      <c r="D40" s="281">
        <f t="shared" si="8"/>
        <v>16</v>
      </c>
      <c r="E40" s="281">
        <f t="shared" si="8"/>
        <v>18</v>
      </c>
      <c r="F40" s="281">
        <f t="shared" si="8"/>
        <v>17</v>
      </c>
      <c r="G40" s="273"/>
      <c r="H40" s="273"/>
      <c r="I40" s="273"/>
      <c r="J40" s="281">
        <f t="shared" ref="J40:N40" si="9">B40+J39</f>
        <v>20</v>
      </c>
      <c r="K40" s="281">
        <f t="shared" si="9"/>
        <v>20</v>
      </c>
      <c r="L40" s="281">
        <f t="shared" si="9"/>
        <v>20</v>
      </c>
      <c r="M40" s="281">
        <f t="shared" si="9"/>
        <v>22</v>
      </c>
      <c r="N40" s="281">
        <f t="shared" si="9"/>
        <v>21</v>
      </c>
      <c r="O40" s="273"/>
      <c r="P40" s="273"/>
      <c r="Q40" s="273"/>
      <c r="R40" s="281">
        <f t="shared" ref="R40:V40" si="10">J40+R39</f>
        <v>24</v>
      </c>
      <c r="S40" s="281">
        <f t="shared" si="10"/>
        <v>24</v>
      </c>
      <c r="T40" s="281">
        <f t="shared" si="10"/>
        <v>24</v>
      </c>
      <c r="U40" s="281">
        <f t="shared" si="10"/>
        <v>26</v>
      </c>
      <c r="V40" s="281">
        <f t="shared" si="10"/>
        <v>25</v>
      </c>
      <c r="W40" s="273"/>
      <c r="X40" s="273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29"/>
    </row>
    <row r="41">
      <c r="A41" s="259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73"/>
      <c r="S41" s="273"/>
      <c r="T41" s="273"/>
      <c r="U41" s="273"/>
      <c r="V41" s="273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29"/>
    </row>
    <row r="42">
      <c r="A42" s="259"/>
      <c r="B42" s="261" t="s">
        <v>226</v>
      </c>
      <c r="C42" s="262"/>
      <c r="D42" s="262"/>
      <c r="E42" s="262"/>
      <c r="F42" s="262"/>
      <c r="G42" s="262"/>
      <c r="H42" s="263"/>
      <c r="I42" s="259"/>
      <c r="J42" s="261" t="s">
        <v>227</v>
      </c>
      <c r="K42" s="262"/>
      <c r="L42" s="262"/>
      <c r="M42" s="262"/>
      <c r="N42" s="262"/>
      <c r="O42" s="262"/>
      <c r="P42" s="263"/>
      <c r="Q42" s="259"/>
      <c r="R42" s="261" t="s">
        <v>228</v>
      </c>
      <c r="S42" s="262"/>
      <c r="T42" s="262"/>
      <c r="U42" s="262"/>
      <c r="V42" s="262"/>
      <c r="W42" s="262"/>
      <c r="X42" s="263"/>
      <c r="Y42" s="259"/>
      <c r="Z42" s="261" t="s">
        <v>229</v>
      </c>
      <c r="AA42" s="262"/>
      <c r="AB42" s="262"/>
      <c r="AC42" s="262"/>
      <c r="AD42" s="262"/>
      <c r="AE42" s="262"/>
      <c r="AF42" s="263"/>
      <c r="AG42" s="259"/>
      <c r="AH42" s="259"/>
      <c r="AI42" s="259"/>
      <c r="AJ42" s="259"/>
      <c r="AK42" s="229"/>
    </row>
    <row r="43">
      <c r="A43" s="259"/>
      <c r="B43" s="265" t="s">
        <v>206</v>
      </c>
      <c r="C43" s="265" t="s">
        <v>207</v>
      </c>
      <c r="D43" s="265" t="s">
        <v>208</v>
      </c>
      <c r="E43" s="265" t="s">
        <v>209</v>
      </c>
      <c r="F43" s="265" t="s">
        <v>210</v>
      </c>
      <c r="G43" s="265" t="s">
        <v>211</v>
      </c>
      <c r="H43" s="265" t="s">
        <v>212</v>
      </c>
      <c r="I43" s="259"/>
      <c r="J43" s="265" t="s">
        <v>206</v>
      </c>
      <c r="K43" s="265" t="s">
        <v>207</v>
      </c>
      <c r="L43" s="265" t="s">
        <v>208</v>
      </c>
      <c r="M43" s="265" t="s">
        <v>209</v>
      </c>
      <c r="N43" s="265" t="s">
        <v>210</v>
      </c>
      <c r="O43" s="265" t="s">
        <v>211</v>
      </c>
      <c r="P43" s="265" t="s">
        <v>212</v>
      </c>
      <c r="Q43" s="259"/>
      <c r="R43" s="265" t="s">
        <v>206</v>
      </c>
      <c r="S43" s="265" t="s">
        <v>207</v>
      </c>
      <c r="T43" s="265" t="s">
        <v>208</v>
      </c>
      <c r="U43" s="265" t="s">
        <v>209</v>
      </c>
      <c r="V43" s="265" t="s">
        <v>210</v>
      </c>
      <c r="W43" s="265" t="s">
        <v>211</v>
      </c>
      <c r="X43" s="265" t="s">
        <v>212</v>
      </c>
      <c r="Y43" s="259"/>
      <c r="Z43" s="265" t="s">
        <v>206</v>
      </c>
      <c r="AA43" s="265" t="s">
        <v>207</v>
      </c>
      <c r="AB43" s="265" t="s">
        <v>208</v>
      </c>
      <c r="AC43" s="265" t="s">
        <v>209</v>
      </c>
      <c r="AD43" s="265" t="s">
        <v>210</v>
      </c>
      <c r="AE43" s="265" t="s">
        <v>211</v>
      </c>
      <c r="AF43" s="265" t="s">
        <v>212</v>
      </c>
      <c r="AG43" s="259"/>
      <c r="AH43" s="259"/>
      <c r="AI43" s="259"/>
      <c r="AJ43" s="259"/>
      <c r="AK43" s="229"/>
    </row>
    <row r="44">
      <c r="A44" s="259"/>
      <c r="B44" s="277"/>
      <c r="C44" s="277"/>
      <c r="D44" s="267">
        <v>1.0</v>
      </c>
      <c r="E44" s="267">
        <v>2.0</v>
      </c>
      <c r="F44" s="267">
        <v>3.0</v>
      </c>
      <c r="G44" s="267">
        <v>4.0</v>
      </c>
      <c r="H44" s="267">
        <v>5.0</v>
      </c>
      <c r="I44" s="270" t="s">
        <v>213</v>
      </c>
      <c r="J44" s="268"/>
      <c r="K44" s="268"/>
      <c r="L44" s="268"/>
      <c r="M44" s="268"/>
      <c r="N44" s="267">
        <v>1.0</v>
      </c>
      <c r="O44" s="267">
        <v>2.0</v>
      </c>
      <c r="P44" s="267">
        <v>3.0</v>
      </c>
      <c r="Q44" s="270">
        <f>I48</f>
        <v>30</v>
      </c>
      <c r="R44" s="292">
        <v>1.0</v>
      </c>
      <c r="S44" s="292">
        <v>2.0</v>
      </c>
      <c r="T44" s="292">
        <v>3.0</v>
      </c>
      <c r="U44" s="292">
        <v>4.0</v>
      </c>
      <c r="V44" s="292">
        <v>5.0</v>
      </c>
      <c r="W44" s="267">
        <v>6.0</v>
      </c>
      <c r="X44" s="267">
        <v>7.0</v>
      </c>
      <c r="Y44" s="270">
        <v>34.0</v>
      </c>
      <c r="Z44" s="268"/>
      <c r="AA44" s="268"/>
      <c r="AB44" s="266">
        <v>1.0</v>
      </c>
      <c r="AC44" s="266">
        <v>2.0</v>
      </c>
      <c r="AD44" s="266">
        <v>3.0</v>
      </c>
      <c r="AE44" s="267">
        <v>4.0</v>
      </c>
      <c r="AF44" s="267">
        <v>5.0</v>
      </c>
      <c r="AG44" s="273"/>
      <c r="AH44" s="259"/>
      <c r="AI44" s="259"/>
      <c r="AJ44" s="259"/>
      <c r="AK44" s="229"/>
    </row>
    <row r="45">
      <c r="A45" s="259"/>
      <c r="B45" s="267">
        <v>6.0</v>
      </c>
      <c r="C45" s="269">
        <v>7.0</v>
      </c>
      <c r="D45" s="275">
        <v>8.0</v>
      </c>
      <c r="E45" s="274">
        <v>9.0</v>
      </c>
      <c r="F45" s="269">
        <v>10.0</v>
      </c>
      <c r="G45" s="267">
        <v>11.0</v>
      </c>
      <c r="H45" s="267">
        <v>12.0</v>
      </c>
      <c r="I45" s="270">
        <v>27.0</v>
      </c>
      <c r="J45" s="267">
        <v>4.0</v>
      </c>
      <c r="K45" s="269">
        <v>5.0</v>
      </c>
      <c r="L45" s="269">
        <v>6.0</v>
      </c>
      <c r="M45" s="274">
        <v>7.0</v>
      </c>
      <c r="N45" s="269">
        <v>8.0</v>
      </c>
      <c r="O45" s="267">
        <v>9.0</v>
      </c>
      <c r="P45" s="267">
        <v>10.0</v>
      </c>
      <c r="Q45" s="270">
        <f t="shared" ref="Q45:Q48" si="11">Q44+1</f>
        <v>31</v>
      </c>
      <c r="R45" s="292">
        <v>8.0</v>
      </c>
      <c r="S45" s="292">
        <v>9.0</v>
      </c>
      <c r="T45" s="292">
        <v>10.0</v>
      </c>
      <c r="U45" s="271">
        <v>11.0</v>
      </c>
      <c r="V45" s="271">
        <v>12.0</v>
      </c>
      <c r="W45" s="267">
        <v>13.0</v>
      </c>
      <c r="X45" s="267">
        <v>14.0</v>
      </c>
      <c r="Y45" s="270">
        <f t="shared" ref="Y45:Y46" si="12">Y44+1</f>
        <v>35</v>
      </c>
      <c r="Z45" s="266">
        <v>6.0</v>
      </c>
      <c r="AA45" s="266">
        <v>7.0</v>
      </c>
      <c r="AB45" s="266">
        <v>8.0</v>
      </c>
      <c r="AC45" s="266">
        <v>9.0</v>
      </c>
      <c r="AD45" s="266">
        <v>10.0</v>
      </c>
      <c r="AE45" s="267">
        <v>11.0</v>
      </c>
      <c r="AF45" s="267">
        <v>12.0</v>
      </c>
      <c r="AG45" s="273"/>
      <c r="AH45" s="259"/>
      <c r="AI45" s="259"/>
      <c r="AJ45" s="259"/>
      <c r="AK45" s="229"/>
    </row>
    <row r="46">
      <c r="A46" s="259"/>
      <c r="B46" s="269">
        <v>13.0</v>
      </c>
      <c r="C46" s="269">
        <v>14.0</v>
      </c>
      <c r="D46" s="269">
        <v>15.0</v>
      </c>
      <c r="E46" s="269">
        <v>16.0</v>
      </c>
      <c r="F46" s="269">
        <v>17.0</v>
      </c>
      <c r="G46" s="267">
        <v>18.0</v>
      </c>
      <c r="H46" s="267">
        <v>19.0</v>
      </c>
      <c r="I46" s="270">
        <f t="shared" ref="I46:I48" si="13">I45+1</f>
        <v>28</v>
      </c>
      <c r="J46" s="269">
        <v>11.0</v>
      </c>
      <c r="K46" s="269">
        <v>12.0</v>
      </c>
      <c r="L46" s="269">
        <v>13.0</v>
      </c>
      <c r="M46" s="269">
        <v>14.0</v>
      </c>
      <c r="N46" s="269">
        <v>15.0</v>
      </c>
      <c r="O46" s="267">
        <v>16.0</v>
      </c>
      <c r="P46" s="267">
        <v>17.0</v>
      </c>
      <c r="Q46" s="270">
        <f t="shared" si="11"/>
        <v>32</v>
      </c>
      <c r="R46" s="271">
        <v>15.0</v>
      </c>
      <c r="S46" s="271">
        <v>16.0</v>
      </c>
      <c r="T46" s="275">
        <v>17.0</v>
      </c>
      <c r="U46" s="275">
        <v>18.0</v>
      </c>
      <c r="V46" s="272">
        <v>19.0</v>
      </c>
      <c r="W46" s="267">
        <v>20.0</v>
      </c>
      <c r="X46" s="267">
        <v>21.0</v>
      </c>
      <c r="Y46" s="270">
        <f t="shared" si="12"/>
        <v>36</v>
      </c>
      <c r="Z46" s="266">
        <v>13.0</v>
      </c>
      <c r="AA46" s="266">
        <v>14.0</v>
      </c>
      <c r="AB46" s="266">
        <v>15.0</v>
      </c>
      <c r="AC46" s="266">
        <v>16.0</v>
      </c>
      <c r="AD46" s="266">
        <v>17.0</v>
      </c>
      <c r="AE46" s="267">
        <v>18.0</v>
      </c>
      <c r="AF46" s="267">
        <v>19.0</v>
      </c>
      <c r="AG46" s="273"/>
      <c r="AH46" s="259"/>
      <c r="AI46" s="259"/>
      <c r="AJ46" s="259"/>
      <c r="AK46" s="229"/>
    </row>
    <row r="47">
      <c r="A47" s="259"/>
      <c r="B47" s="269">
        <v>20.0</v>
      </c>
      <c r="C47" s="269">
        <v>21.0</v>
      </c>
      <c r="D47" s="275">
        <v>22.0</v>
      </c>
      <c r="E47" s="275">
        <v>23.0</v>
      </c>
      <c r="F47" s="269">
        <v>24.0</v>
      </c>
      <c r="G47" s="267">
        <v>25.0</v>
      </c>
      <c r="H47" s="267">
        <v>26.0</v>
      </c>
      <c r="I47" s="270">
        <f t="shared" si="13"/>
        <v>29</v>
      </c>
      <c r="J47" s="269">
        <v>18.0</v>
      </c>
      <c r="K47" s="269">
        <v>19.0</v>
      </c>
      <c r="L47" s="269">
        <v>20.0</v>
      </c>
      <c r="M47" s="293">
        <v>21.0</v>
      </c>
      <c r="N47" s="279">
        <v>22.0</v>
      </c>
      <c r="O47" s="267">
        <v>23.0</v>
      </c>
      <c r="P47" s="267">
        <v>24.0</v>
      </c>
      <c r="Q47" s="270">
        <f t="shared" si="11"/>
        <v>33</v>
      </c>
      <c r="R47" s="266">
        <v>22.0</v>
      </c>
      <c r="S47" s="266">
        <v>23.0</v>
      </c>
      <c r="T47" s="267">
        <v>24.0</v>
      </c>
      <c r="U47" s="266">
        <v>25.0</v>
      </c>
      <c r="V47" s="266">
        <v>26.0</v>
      </c>
      <c r="W47" s="267">
        <v>27.0</v>
      </c>
      <c r="X47" s="267">
        <v>28.0</v>
      </c>
      <c r="Y47" s="270" t="s">
        <v>213</v>
      </c>
      <c r="Z47" s="266">
        <v>20.0</v>
      </c>
      <c r="AA47" s="266">
        <v>21.0</v>
      </c>
      <c r="AB47" s="266">
        <v>22.0</v>
      </c>
      <c r="AC47" s="266">
        <v>23.0</v>
      </c>
      <c r="AD47" s="266">
        <v>24.0</v>
      </c>
      <c r="AE47" s="267">
        <v>25.0</v>
      </c>
      <c r="AF47" s="267">
        <v>26.0</v>
      </c>
      <c r="AG47" s="273"/>
      <c r="AH47" s="259"/>
      <c r="AI47" s="259"/>
      <c r="AJ47" s="259"/>
      <c r="AK47" s="229"/>
    </row>
    <row r="48">
      <c r="A48" s="259"/>
      <c r="B48" s="275">
        <v>27.0</v>
      </c>
      <c r="C48" s="275">
        <v>28.0</v>
      </c>
      <c r="D48" s="269">
        <v>29.0</v>
      </c>
      <c r="E48" s="269">
        <v>30.0</v>
      </c>
      <c r="F48" s="268"/>
      <c r="G48" s="277"/>
      <c r="H48" s="277"/>
      <c r="I48" s="270">
        <f t="shared" si="13"/>
        <v>30</v>
      </c>
      <c r="J48" s="267">
        <v>25.0</v>
      </c>
      <c r="K48" s="271">
        <v>26.0</v>
      </c>
      <c r="L48" s="271">
        <v>27.0</v>
      </c>
      <c r="M48" s="271">
        <v>28.0</v>
      </c>
      <c r="N48" s="275">
        <v>29.0</v>
      </c>
      <c r="O48" s="267">
        <v>30.0</v>
      </c>
      <c r="P48" s="267">
        <v>31.0</v>
      </c>
      <c r="Q48" s="270">
        <f t="shared" si="11"/>
        <v>34</v>
      </c>
      <c r="R48" s="266">
        <v>29.0</v>
      </c>
      <c r="S48" s="266">
        <v>30.0</v>
      </c>
      <c r="T48" s="268"/>
      <c r="U48" s="268"/>
      <c r="V48" s="268"/>
      <c r="W48" s="277"/>
      <c r="X48" s="277"/>
      <c r="Y48" s="270" t="s">
        <v>213</v>
      </c>
      <c r="Z48" s="266">
        <v>27.0</v>
      </c>
      <c r="AA48" s="266">
        <v>28.0</v>
      </c>
      <c r="AB48" s="266">
        <v>29.0</v>
      </c>
      <c r="AC48" s="266">
        <v>30.0</v>
      </c>
      <c r="AD48" s="266">
        <v>31.0</v>
      </c>
      <c r="AE48" s="277"/>
      <c r="AF48" s="277"/>
      <c r="AG48" s="273"/>
      <c r="AH48" s="259"/>
      <c r="AI48" s="259"/>
      <c r="AJ48" s="259"/>
      <c r="AK48" s="229"/>
    </row>
    <row r="49">
      <c r="A49" s="294"/>
      <c r="B49" s="295">
        <v>4.0</v>
      </c>
      <c r="C49" s="295">
        <v>4.0</v>
      </c>
      <c r="D49" s="295">
        <v>4.0</v>
      </c>
      <c r="E49" s="295">
        <v>3.0</v>
      </c>
      <c r="F49" s="295">
        <v>3.0</v>
      </c>
      <c r="G49" s="296"/>
      <c r="H49" s="296"/>
      <c r="I49" s="296"/>
      <c r="J49" s="295">
        <v>3.0</v>
      </c>
      <c r="K49" s="295">
        <v>3.0</v>
      </c>
      <c r="L49" s="295">
        <v>3.0</v>
      </c>
      <c r="M49" s="295">
        <v>2.0</v>
      </c>
      <c r="N49" s="295">
        <v>3.0</v>
      </c>
      <c r="O49" s="296"/>
      <c r="P49" s="296"/>
      <c r="Q49" s="296"/>
      <c r="R49" s="295">
        <v>3.0</v>
      </c>
      <c r="S49" s="295">
        <v>3.0</v>
      </c>
      <c r="T49" s="295">
        <v>3.0</v>
      </c>
      <c r="U49" s="295">
        <v>3.0</v>
      </c>
      <c r="V49" s="295">
        <v>3.0</v>
      </c>
      <c r="W49" s="296"/>
      <c r="X49" s="296"/>
      <c r="Y49" s="273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29"/>
    </row>
    <row r="50">
      <c r="A50" s="295" t="s">
        <v>214</v>
      </c>
      <c r="B50" s="295">
        <f t="shared" ref="B50:F50" si="14">R40+B49</f>
        <v>28</v>
      </c>
      <c r="C50" s="295">
        <f t="shared" si="14"/>
        <v>28</v>
      </c>
      <c r="D50" s="295">
        <f t="shared" si="14"/>
        <v>28</v>
      </c>
      <c r="E50" s="295">
        <f t="shared" si="14"/>
        <v>29</v>
      </c>
      <c r="F50" s="295">
        <f t="shared" si="14"/>
        <v>28</v>
      </c>
      <c r="G50" s="294"/>
      <c r="H50" s="294"/>
      <c r="I50" s="294"/>
      <c r="J50" s="297">
        <f t="shared" ref="J50:N50" si="15">B50+J49</f>
        <v>31</v>
      </c>
      <c r="K50" s="297">
        <f t="shared" si="15"/>
        <v>31</v>
      </c>
      <c r="L50" s="297">
        <f t="shared" si="15"/>
        <v>31</v>
      </c>
      <c r="M50" s="297">
        <f t="shared" si="15"/>
        <v>31</v>
      </c>
      <c r="N50" s="297">
        <f t="shared" si="15"/>
        <v>31</v>
      </c>
      <c r="O50" s="294"/>
      <c r="P50" s="294"/>
      <c r="Q50" s="294"/>
      <c r="R50" s="295">
        <f t="shared" ref="R50:V50" si="16">J50+R49</f>
        <v>34</v>
      </c>
      <c r="S50" s="295">
        <f t="shared" si="16"/>
        <v>34</v>
      </c>
      <c r="T50" s="295">
        <f t="shared" si="16"/>
        <v>34</v>
      </c>
      <c r="U50" s="295">
        <f t="shared" si="16"/>
        <v>34</v>
      </c>
      <c r="V50" s="295">
        <f t="shared" si="16"/>
        <v>34</v>
      </c>
      <c r="W50" s="294"/>
      <c r="X50" s="294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29"/>
    </row>
    <row r="51">
      <c r="A51" s="259"/>
      <c r="B51" s="264"/>
      <c r="C51" s="264"/>
      <c r="D51" s="264"/>
      <c r="E51" s="264"/>
      <c r="F51" s="264"/>
      <c r="G51" s="264"/>
      <c r="H51" s="259"/>
      <c r="I51" s="259"/>
      <c r="J51" s="264"/>
      <c r="K51" s="264"/>
      <c r="L51" s="264"/>
      <c r="M51" s="264"/>
      <c r="N51" s="264"/>
      <c r="O51" s="264"/>
      <c r="P51" s="264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29"/>
    </row>
  </sheetData>
  <mergeCells count="26">
    <mergeCell ref="B2:H2"/>
    <mergeCell ref="I2:O2"/>
    <mergeCell ref="P2:V2"/>
    <mergeCell ref="W2:AC2"/>
    <mergeCell ref="AD2:AJ2"/>
    <mergeCell ref="B18:AF18"/>
    <mergeCell ref="B19:AF19"/>
    <mergeCell ref="B21:H21"/>
    <mergeCell ref="J21:P21"/>
    <mergeCell ref="R21:X21"/>
    <mergeCell ref="Z21:AF21"/>
    <mergeCell ref="B31:H31"/>
    <mergeCell ref="J31:P31"/>
    <mergeCell ref="R31:X31"/>
    <mergeCell ref="Z39:AJ39"/>
    <mergeCell ref="B42:H42"/>
    <mergeCell ref="J42:P42"/>
    <mergeCell ref="R42:X42"/>
    <mergeCell ref="Z42:AF42"/>
    <mergeCell ref="Z31:AJ31"/>
    <mergeCell ref="Z32:AJ32"/>
    <mergeCell ref="Z33:AJ33"/>
    <mergeCell ref="Z34:AJ34"/>
    <mergeCell ref="Z35:AJ35"/>
    <mergeCell ref="Z36:AJ37"/>
    <mergeCell ref="Z38:AJ38"/>
  </mergeCells>
  <conditionalFormatting sqref="B3:AJ51">
    <cfRule type="containsText" dxfId="1" priority="1" operator="containsText" text="Class">
      <formula>NOT(ISERROR(SEARCH(("Class"),(B3))))</formula>
    </cfRule>
  </conditionalFormatting>
  <conditionalFormatting sqref="B3:AJ51">
    <cfRule type="containsText" dxfId="1" priority="2" operator="containsText" text="Out">
      <formula>NOT(ISERROR(SEARCH(("Out"),(B3))))</formula>
    </cfRule>
  </conditionalFormatting>
  <conditionalFormatting sqref="B3:AJ51">
    <cfRule type="containsText" dxfId="1" priority="3" operator="containsText" text="Coor">
      <formula>NOT(ISERROR(SEARCH(("Coor"),(B3))))</formula>
    </cfRule>
  </conditionalFormatting>
  <conditionalFormatting sqref="B3:AJ51">
    <cfRule type="containsText" dxfId="1" priority="4" operator="containsText" text="Tut">
      <formula>NOT(ISERROR(SEARCH(("Tut"),(B3))))</formula>
    </cfRule>
  </conditionalFormatting>
  <conditionalFormatting sqref="B3:AJ51">
    <cfRule type="containsText" dxfId="1" priority="5" operator="containsText" text="C.Tut">
      <formula>NOT(ISERROR(SEARCH(("C.Tut"),(B3))))</formula>
    </cfRule>
  </conditionalFormatting>
  <drawing r:id="rId2"/>
  <legacyDrawing r:id="rId3"/>
</worksheet>
</file>